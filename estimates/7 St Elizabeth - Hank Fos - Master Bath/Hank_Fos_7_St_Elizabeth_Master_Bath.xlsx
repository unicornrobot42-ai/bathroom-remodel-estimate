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ient Summary" sheetId="3" state="visible" r:id="rId3"/>
    <sheet xmlns:r="http://schemas.openxmlformats.org/officeDocument/2006/relationships" name="Profit Breakdown" sheetId="4" state="visible" r:id="rId4"/>
  </sheets>
  <definedNames>
    <definedName name="_xlnm.Print_Titles" localSheetId="0">'Budget'!$1:$11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yyyy-mm-dd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ac4b0"/>
      <sz val="9"/>
    </font>
    <font>
      <name val="Calibri"/>
      <b val="1"/>
      <color rgb="00312509"/>
      <sz val="9"/>
    </font>
    <font>
      <name val="Calibri"/>
      <color rgb="001a1a1a"/>
      <sz val="10"/>
    </font>
    <font>
      <name val="Calibri"/>
      <b val="1"/>
      <color rgb="0019412c"/>
      <sz val="11"/>
    </font>
    <font>
      <name val="Calibri"/>
      <b val="1"/>
      <color rgb="00FFFFFF"/>
      <sz val="9"/>
    </font>
    <font>
      <name val="Calibri"/>
      <i val="1"/>
      <color rgb="00888888"/>
      <sz val="7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color rgb="00111111"/>
      <sz val="9"/>
    </font>
    <font>
      <name val="Calibri"/>
      <color rgb="00614432"/>
      <sz val="9"/>
    </font>
    <font>
      <name val="Calibri"/>
      <b val="1"/>
      <color rgb="0019412c"/>
      <sz val="9"/>
    </font>
    <font>
      <name val="Calibri"/>
      <b val="1"/>
      <color rgb="00CCCCCC"/>
      <sz val="10"/>
    </font>
    <font>
      <name val="Calibri"/>
      <b val="1"/>
      <color rgb="00312509"/>
      <sz val="10"/>
    </font>
    <font>
      <name val="Calibri"/>
      <b val="1"/>
      <color rgb="0019412c"/>
      <sz val="10"/>
    </font>
    <font>
      <name val="Calibri"/>
      <b val="1"/>
      <color rgb="00614432"/>
      <sz val="8"/>
    </font>
    <font>
      <name val="Calibri"/>
      <i val="1"/>
      <color rgb="00444444"/>
      <sz val="9"/>
    </font>
    <font>
      <name val="Calibri"/>
      <b val="1"/>
      <color rgb="00614432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e9af3b"/>
      <sz val="12"/>
    </font>
    <font>
      <name val="Calibri"/>
      <b val="1"/>
      <color rgb="00e9af3b"/>
      <sz val="16"/>
    </font>
    <font>
      <name val="Calibri"/>
      <b val="1"/>
      <color rgb="00FFFFFF"/>
      <sz val="8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24"/>
    </font>
    <font>
      <name val="Calibri"/>
      <b val="1"/>
      <color rgb="00FFFFFF"/>
      <sz val="16"/>
    </font>
    <font>
      <name val="Calibri"/>
      <i val="1"/>
      <color rgb="00999999"/>
      <sz val="8"/>
    </font>
    <font>
      <name val="Calibri"/>
      <b val="1"/>
      <color rgb="001a1a1a"/>
      <sz val="11"/>
    </font>
    <font>
      <name val="Calibri"/>
      <b val="1"/>
      <color rgb="00312509"/>
      <sz val="11"/>
    </font>
    <font>
      <name val="Calibri"/>
      <b val="1"/>
      <color rgb="00614432"/>
      <sz val="11"/>
    </font>
    <font>
      <name val="Calibri"/>
      <b val="1"/>
      <color rgb="00e9af3b"/>
      <sz val="15"/>
    </font>
    <font>
      <name val="Calibri"/>
      <color rgb="00555555"/>
      <sz val="9"/>
    </font>
  </fonts>
  <fills count="18">
    <fill>
      <patternFill/>
    </fill>
    <fill>
      <patternFill patternType="gray125"/>
    </fill>
    <fill>
      <patternFill patternType="solid">
        <fgColor rgb="0019412c"/>
      </patternFill>
    </fill>
    <fill>
      <patternFill patternType="solid">
        <fgColor rgb="00e9af3b"/>
      </patternFill>
    </fill>
    <fill>
      <patternFill patternType="solid">
        <fgColor rgb="00312509"/>
      </patternFill>
    </fill>
    <fill>
      <patternFill patternType="solid">
        <fgColor rgb="00f0ede8"/>
      </patternFill>
    </fill>
    <fill>
      <patternFill patternType="solid">
        <fgColor rgb="00FFFFFF"/>
      </patternFill>
    </fill>
    <fill>
      <patternFill patternType="solid">
        <fgColor rgb="00213245"/>
      </patternFill>
    </fill>
    <fill>
      <patternFill patternType="solid">
        <fgColor rgb="00614432"/>
      </patternFill>
    </fill>
    <fill>
      <patternFill patternType="solid">
        <fgColor rgb="00fafaf8"/>
      </patternFill>
    </fill>
    <fill>
      <patternFill patternType="solid">
        <fgColor rgb="00fef9f0"/>
      </patternFill>
    </fill>
    <fill>
      <patternFill patternType="solid">
        <fgColor rgb="00f0f7f2"/>
      </patternFill>
    </fill>
    <fill>
      <patternFill patternType="solid">
        <fgColor rgb="00fdf5e0"/>
      </patternFill>
    </fill>
    <fill>
      <patternFill patternType="solid">
        <fgColor rgb="00fff3e0"/>
      </patternFill>
    </fill>
    <fill>
      <patternFill patternType="solid">
        <fgColor rgb="00f5ede6"/>
      </patternFill>
    </fill>
    <fill>
      <patternFill patternType="solid">
        <fgColor rgb="00fff9f0"/>
      </patternFill>
    </fill>
    <fill>
      <patternFill patternType="solid">
        <fgColor rgb="00e8f0eb"/>
      </patternFill>
    </fill>
    <fill>
      <patternFill patternType="solid">
        <fgColor rgb="00fde8d0"/>
      </patternFill>
    </fill>
  </fills>
  <borders count="21">
    <border>
      <left/>
      <right/>
      <top/>
      <bottom/>
      <diagonal/>
    </border>
    <border>
      <bottom style="thin">
        <color rgb="0019412c"/>
      </bottom>
    </border>
    <border>
      <left/>
      <right/>
      <top/>
      <bottom style="thin">
        <color rgb="0019412c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e9af3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8C870"/>
      </left>
      <right style="thin">
        <color rgb="00E8C870"/>
      </right>
      <top style="thin">
        <color rgb="00E8C870"/>
      </top>
      <bottom style="thin">
        <color rgb="00E8C87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614432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19412c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  <border>
      <right/>
      <bottom style="thin">
        <color rgb="0019412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0D0D0"/>
      </top>
      <bottom style="medium">
        <color rgb="00e9af3b"/>
      </bottom>
      <diagonal/>
    </border>
    <border>
      <left/>
      <right style="thin">
        <color rgb="00D0D0D0"/>
      </right>
      <top style="thin">
        <color rgb="00D0D0D0"/>
      </top>
      <bottom style="medium">
        <color rgb="00e9af3b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0" borderId="2" pivotButton="0" quotePrefix="0" xfId="0"/>
    <xf numFmtId="164" fontId="5" fillId="6" borderId="1" pivotButton="0" quotePrefix="0" xfId="0"/>
    <xf numFmtId="0" fontId="6" fillId="7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8" borderId="5" applyAlignment="1" pivotButton="0" quotePrefix="0" xfId="0">
      <alignment horizontal="left" vertical="center"/>
    </xf>
    <xf numFmtId="0" fontId="9" fillId="9" borderId="6" applyAlignment="1" pivotButton="0" quotePrefix="0" xfId="0">
      <alignment horizontal="left" vertical="center"/>
    </xf>
    <xf numFmtId="0" fontId="10" fillId="9" borderId="6" applyAlignment="1" pivotButton="0" quotePrefix="0" xfId="0">
      <alignment horizontal="left" vertical="center"/>
    </xf>
    <xf numFmtId="165" fontId="9" fillId="9" borderId="6" applyAlignment="1" pivotButton="0" quotePrefix="0" xfId="0">
      <alignment horizontal="right" vertical="center"/>
    </xf>
    <xf numFmtId="165" fontId="3" fillId="9" borderId="6" applyAlignment="1" pivotButton="0" quotePrefix="0" xfId="0">
      <alignment horizontal="right" vertical="center"/>
    </xf>
    <xf numFmtId="164" fontId="11" fillId="10" borderId="7" applyAlignment="1" pivotButton="0" quotePrefix="0" xfId="0">
      <alignment horizontal="center" vertical="center"/>
    </xf>
    <xf numFmtId="165" fontId="12" fillId="11" borderId="6" applyAlignment="1" pivotButton="0" quotePrefix="0" xfId="0">
      <alignment horizontal="right" vertical="center"/>
    </xf>
    <xf numFmtId="0" fontId="13" fillId="9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9" fillId="6" borderId="6" applyAlignment="1" pivotButton="0" quotePrefix="0" xfId="0">
      <alignment horizontal="right" vertical="center"/>
    </xf>
    <xf numFmtId="165" fontId="3" fillId="6" borderId="6" applyAlignment="1" pivotButton="0" quotePrefix="0" xfId="0">
      <alignment horizontal="right" vertical="center"/>
    </xf>
    <xf numFmtId="0" fontId="13" fillId="6" borderId="6" applyAlignment="1" pivotButton="0" quotePrefix="0" xfId="0">
      <alignment horizontal="center" vertical="center"/>
    </xf>
    <xf numFmtId="0" fontId="3" fillId="12" borderId="6" applyAlignment="1" pivotButton="0" quotePrefix="0" xfId="0">
      <alignment horizontal="right" vertical="center"/>
    </xf>
    <xf numFmtId="0" fontId="0" fillId="12" borderId="0" pivotButton="0" quotePrefix="0" xfId="0"/>
    <xf numFmtId="165" fontId="3" fillId="12" borderId="8" applyAlignment="1" pivotButton="0" quotePrefix="0" xfId="0">
      <alignment horizontal="right" vertical="center"/>
    </xf>
    <xf numFmtId="165" fontId="14" fillId="12" borderId="8" applyAlignment="1" pivotButton="0" quotePrefix="0" xfId="0">
      <alignment horizontal="right" vertical="center"/>
    </xf>
    <xf numFmtId="0" fontId="0" fillId="12" borderId="6" pivotButton="0" quotePrefix="0" xfId="0"/>
    <xf numFmtId="165" fontId="15" fillId="12" borderId="9" applyAlignment="1" pivotButton="0" quotePrefix="0" xfId="0">
      <alignment horizontal="right" vertical="center"/>
    </xf>
    <xf numFmtId="165" fontId="16" fillId="13" borderId="8" applyAlignment="1" pivotButton="0" quotePrefix="0" xfId="0">
      <alignment horizontal="right" vertical="center"/>
    </xf>
    <xf numFmtId="0" fontId="9" fillId="14" borderId="6" applyAlignment="1" pivotButton="0" quotePrefix="0" xfId="0">
      <alignment horizontal="left" vertical="center"/>
    </xf>
    <xf numFmtId="0" fontId="17" fillId="14" borderId="6" applyAlignment="1" pivotButton="0" quotePrefix="0" xfId="0">
      <alignment horizontal="left" vertical="center"/>
    </xf>
    <xf numFmtId="165" fontId="9" fillId="14" borderId="6" applyAlignment="1" pivotButton="0" quotePrefix="0" xfId="0">
      <alignment horizontal="right" vertical="center"/>
    </xf>
    <xf numFmtId="165" fontId="3" fillId="14" borderId="6" applyAlignment="1" pivotButton="0" quotePrefix="0" xfId="0">
      <alignment horizontal="right" vertical="center"/>
    </xf>
    <xf numFmtId="164" fontId="11" fillId="13" borderId="7" applyAlignment="1" pivotButton="0" quotePrefix="0" xfId="0">
      <alignment horizontal="center" vertical="center"/>
    </xf>
    <xf numFmtId="165" fontId="12" fillId="15" borderId="6" applyAlignment="1" pivotButton="0" quotePrefix="0" xfId="0">
      <alignment horizontal="right" vertical="center"/>
    </xf>
    <xf numFmtId="0" fontId="18" fillId="13" borderId="6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right" vertical="center"/>
    </xf>
    <xf numFmtId="165" fontId="15" fillId="12" borderId="8" applyAlignment="1" pivotButton="0" quotePrefix="0" xfId="0">
      <alignment horizontal="right" vertical="center"/>
    </xf>
    <xf numFmtId="0" fontId="14" fillId="13" borderId="0" applyAlignment="1" pivotButton="0" quotePrefix="0" xfId="0">
      <alignment horizontal="right" vertical="center"/>
    </xf>
    <xf numFmtId="0" fontId="0" fillId="13" borderId="0" pivotButton="0" quotePrefix="0" xfId="0"/>
    <xf numFmtId="165" fontId="14" fillId="13" borderId="8" applyAlignment="1" pivotButton="0" quotePrefix="0" xfId="0">
      <alignment horizontal="right" vertical="center"/>
    </xf>
    <xf numFmtId="0" fontId="0" fillId="13" borderId="6" pivotButton="0" quotePrefix="0" xfId="0"/>
    <xf numFmtId="165" fontId="15" fillId="13" borderId="8" applyAlignment="1" pivotButton="0" quotePrefix="0" xfId="0">
      <alignment horizontal="right" vertical="center"/>
    </xf>
    <xf numFmtId="0" fontId="20" fillId="2" borderId="0" applyAlignment="1" pivotButton="0" quotePrefix="0" xfId="0">
      <alignment horizontal="right" vertical="center"/>
    </xf>
    <xf numFmtId="0" fontId="0" fillId="2" borderId="0" pivotButton="0" quotePrefix="0" xfId="0"/>
    <xf numFmtId="165" fontId="20" fillId="2" borderId="5" applyAlignment="1" pivotButton="0" quotePrefix="0" xfId="0">
      <alignment horizontal="right" vertical="center"/>
    </xf>
    <xf numFmtId="0" fontId="0" fillId="2" borderId="6" pivotButton="0" quotePrefix="0" xfId="0"/>
    <xf numFmtId="165" fontId="21" fillId="2" borderId="5" applyAlignment="1" pivotButton="0" quotePrefix="0" xfId="0">
      <alignment horizontal="right" vertical="center"/>
    </xf>
    <xf numFmtId="0" fontId="3" fillId="12" borderId="0" applyAlignment="1" pivotButton="0" quotePrefix="0" xfId="0">
      <alignment horizontal="right" vertical="center"/>
    </xf>
    <xf numFmtId="165" fontId="18" fillId="12" borderId="8" applyAlignment="1" pivotButton="0" quotePrefix="0" xfId="0">
      <alignment horizontal="right" vertical="center"/>
    </xf>
    <xf numFmtId="0" fontId="20" fillId="7" borderId="0" applyAlignment="1" pivotButton="0" quotePrefix="0" xfId="0">
      <alignment horizontal="right" vertical="center"/>
    </xf>
    <xf numFmtId="0" fontId="0" fillId="7" borderId="0" pivotButton="0" quotePrefix="0" xfId="0"/>
    <xf numFmtId="165" fontId="22" fillId="7" borderId="5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3" fillId="8" borderId="3" applyAlignment="1" pivotButton="0" quotePrefix="0" xfId="0">
      <alignment horizontal="center" vertical="center"/>
    </xf>
    <xf numFmtId="0" fontId="0" fillId="6" borderId="6" applyAlignment="1" pivotButton="0" quotePrefix="0" xfId="0">
      <alignment horizontal="left" vertical="center"/>
    </xf>
    <xf numFmtId="165" fontId="0" fillId="6" borderId="6" applyAlignment="1" pivotButton="0" quotePrefix="0" xfId="0">
      <alignment horizontal="right" vertical="center"/>
    </xf>
    <xf numFmtId="0" fontId="0" fillId="6" borderId="6" applyAlignment="1" pivotButton="0" quotePrefix="0" xfId="0">
      <alignment horizontal="center" vertical="center"/>
    </xf>
    <xf numFmtId="0" fontId="0" fillId="6" borderId="6" pivotButton="0" quotePrefix="0" xfId="0"/>
    <xf numFmtId="0" fontId="0" fillId="16" borderId="6" applyAlignment="1" pivotButton="0" quotePrefix="0" xfId="0">
      <alignment horizontal="left" vertical="center"/>
    </xf>
    <xf numFmtId="165" fontId="0" fillId="16" borderId="6" applyAlignment="1" pivotButton="0" quotePrefix="0" xfId="0">
      <alignment horizontal="right" vertical="center"/>
    </xf>
    <xf numFmtId="0" fontId="0" fillId="16" borderId="6" applyAlignment="1" pivotButton="0" quotePrefix="0" xfId="0">
      <alignment horizontal="center" vertical="center"/>
    </xf>
    <xf numFmtId="0" fontId="0" fillId="16" borderId="6" pivotButton="0" quotePrefix="0" xfId="0"/>
    <xf numFmtId="165" fontId="15" fillId="1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2"/>
    </xf>
    <xf numFmtId="0" fontId="2" fillId="4" borderId="0" pivotButton="0" quotePrefix="0" xfId="0"/>
    <xf numFmtId="0" fontId="9" fillId="16" borderId="6" pivotButton="0" quotePrefix="0" xfId="0"/>
    <xf numFmtId="165" fontId="9" fillId="16" borderId="6" applyAlignment="1" pivotButton="0" quotePrefix="0" xfId="0">
      <alignment horizontal="right" vertical="center"/>
    </xf>
    <xf numFmtId="0" fontId="9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right" vertical="center"/>
    </xf>
    <xf numFmtId="0" fontId="9" fillId="9" borderId="6" pivotButton="0" quotePrefix="0" xfId="0"/>
    <xf numFmtId="0" fontId="9" fillId="9" borderId="6" applyAlignment="1" pivotButton="0" quotePrefix="0" xfId="0">
      <alignment horizontal="center" vertical="center"/>
    </xf>
    <xf numFmtId="0" fontId="25" fillId="2" borderId="0" applyAlignment="1" pivotButton="0" quotePrefix="0" xfId="0">
      <alignment horizontal="right" vertical="center"/>
    </xf>
    <xf numFmtId="165" fontId="20" fillId="2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indent="2"/>
    </xf>
    <xf numFmtId="0" fontId="14" fillId="5" borderId="0" pivotButton="0" quotePrefix="0" xfId="0"/>
    <xf numFmtId="0" fontId="25" fillId="7" borderId="0" applyAlignment="1" pivotButton="0" quotePrefix="0" xfId="0">
      <alignment horizontal="center" vertical="center"/>
    </xf>
    <xf numFmtId="0" fontId="14" fillId="16" borderId="6" pivotButton="0" quotePrefix="0" xfId="0"/>
    <xf numFmtId="165" fontId="15" fillId="12" borderId="6" applyAlignment="1" pivotButton="0" quotePrefix="0" xfId="0">
      <alignment horizontal="right" vertical="center"/>
    </xf>
    <xf numFmtId="0" fontId="14" fillId="9" borderId="6" pivotButton="0" quotePrefix="0" xfId="0"/>
    <xf numFmtId="165" fontId="15" fillId="16" borderId="6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right" vertical="center"/>
    </xf>
    <xf numFmtId="0" fontId="29" fillId="16" borderId="0" applyAlignment="1" pivotButton="0" quotePrefix="0" xfId="0">
      <alignment horizontal="right" vertical="center"/>
    </xf>
    <xf numFmtId="0" fontId="0" fillId="16" borderId="0" pivotButton="0" quotePrefix="0" xfId="0"/>
    <xf numFmtId="165" fontId="30" fillId="12" borderId="0" applyAlignment="1" pivotButton="0" quotePrefix="0" xfId="0">
      <alignment horizontal="right" vertical="center"/>
    </xf>
    <xf numFmtId="165" fontId="31" fillId="13" borderId="0" applyAlignment="1" pivotButton="0" quotePrefix="0" xfId="0">
      <alignment horizontal="right" vertical="center"/>
    </xf>
    <xf numFmtId="0" fontId="14" fillId="17" borderId="0" applyAlignment="1" pivotButton="0" quotePrefix="0" xfId="0">
      <alignment horizontal="right" vertical="center"/>
    </xf>
    <xf numFmtId="165" fontId="31" fillId="17" borderId="0" applyAlignment="1" pivotButton="0" quotePrefix="0" xfId="0">
      <alignment horizontal="right" vertical="center"/>
    </xf>
    <xf numFmtId="0" fontId="0" fillId="17" borderId="0" pivotButton="0" quotePrefix="0" xfId="0"/>
    <xf numFmtId="165" fontId="32" fillId="7" borderId="5" applyAlignment="1" pivotButton="0" quotePrefix="0" xfId="0">
      <alignment horizontal="right" vertical="center"/>
    </xf>
    <xf numFmtId="164" fontId="5" fillId="16" borderId="0" applyAlignment="1" pivotButton="0" quotePrefix="0" xfId="0">
      <alignment horizontal="right" vertical="center"/>
    </xf>
    <xf numFmtId="0" fontId="33" fillId="9" borderId="6" pivotButton="0" quotePrefix="0" xfId="0"/>
    <xf numFmtId="165" fontId="0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33" fillId="16" borderId="6" pivotButton="0" quotePrefix="0" xfId="0"/>
    <xf numFmtId="0" fontId="8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4" fillId="6" borderId="14" pivotButton="0" quotePrefix="0" xfId="0"/>
    <xf numFmtId="166" fontId="4" fillId="6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3" customWidth="1" min="8" max="8"/>
    <col width="22" customWidth="1" min="9" max="9"/>
  </cols>
  <sheetData>
    <row r="1" ht="8" customHeight="1"/>
    <row r="2" ht="54" customHeight="1">
      <c r="A2" s="1" t="inlineStr">
        <is>
          <t>TIMBERLINE BUILD CO.</t>
        </is>
      </c>
    </row>
    <row r="3" ht="6" customHeight="1">
      <c r="A3" s="2" t="n"/>
    </row>
    <row r="4" ht="20" customHeight="1">
      <c r="A4" s="3" t="inlineStr">
        <is>
          <t xml:space="preserve">    PROJECT BUDGET — INTERNAL WORKING DOCUMENT</t>
        </is>
      </c>
    </row>
    <row r="5" ht="24" customHeight="1">
      <c r="A5" s="4" t="inlineStr">
        <is>
          <t>Client Name:</t>
        </is>
      </c>
      <c r="B5" s="106" t="inlineStr">
        <is>
          <t>Hank Fos</t>
        </is>
      </c>
      <c r="C5" s="6" t="n"/>
      <c r="D5" s="6" t="n"/>
      <c r="E5" s="4" t="inlineStr">
        <is>
          <t>Date:</t>
        </is>
      </c>
      <c r="F5" s="107" t="n">
        <v>46147</v>
      </c>
      <c r="G5" s="6" t="n"/>
      <c r="H5" s="6" t="n"/>
      <c r="I5" s="6" t="n"/>
    </row>
    <row r="6" ht="24" customHeight="1">
      <c r="A6" s="4" t="inlineStr">
        <is>
          <t>Project Address:</t>
        </is>
      </c>
      <c r="B6" s="106" t="inlineStr">
        <is>
          <t>7 St Elizabeth, Laguna Niguel, CA 92677</t>
        </is>
      </c>
      <c r="C6" s="6" t="n"/>
      <c r="D6" s="6" t="n"/>
      <c r="E6" s="4" t="inlineStr">
        <is>
          <t>Default Markup:</t>
        </is>
      </c>
      <c r="F6" s="7" t="n">
        <v>0.4</v>
      </c>
    </row>
    <row r="7" ht="24" customHeight="1">
      <c r="A7" s="4" t="inlineStr">
        <is>
          <t>Project Type:</t>
        </is>
      </c>
      <c r="B7" s="106" t="inlineStr">
        <is>
          <t>Master Bathroom Remodel</t>
        </is>
      </c>
      <c r="C7" s="6" t="n"/>
      <c r="D7" s="6" t="n"/>
      <c r="E7" s="4" t="inlineStr">
        <is>
          <t>Project #:</t>
        </is>
      </c>
      <c r="F7" s="106" t="inlineStr"/>
      <c r="G7" s="6" t="n"/>
      <c r="H7" s="6" t="n"/>
      <c r="I7" s="6" t="n"/>
    </row>
    <row r="8" ht="24" customHeight="1">
      <c r="A8" s="4" t="inlineStr">
        <is>
          <t>Estimator:</t>
        </is>
      </c>
      <c r="B8" s="106" t="inlineStr">
        <is>
          <t>Justin</t>
        </is>
      </c>
      <c r="C8" s="6" t="n"/>
      <c r="D8" s="6" t="n"/>
      <c r="E8" s="4" t="inlineStr">
        <is>
          <t>License #:</t>
        </is>
      </c>
      <c r="F8" s="106" t="inlineStr"/>
      <c r="G8" s="6" t="n"/>
      <c r="H8" s="6" t="n"/>
      <c r="I8" s="6" t="n"/>
    </row>
    <row r="10" ht="30" customHeight="1">
      <c r="A10" s="8" t="inlineStr">
        <is>
          <t>Category</t>
        </is>
      </c>
      <c r="B10" s="8" t="inlineStr">
        <is>
          <t>Item / Description</t>
        </is>
      </c>
      <c r="C10" s="9" t="inlineStr">
        <is>
          <t>Material Cost</t>
        </is>
      </c>
      <c r="D10" s="9" t="inlineStr">
        <is>
          <t>Labor Cost</t>
        </is>
      </c>
      <c r="E10" s="10" t="inlineStr">
        <is>
          <t>M&amp;L Total</t>
        </is>
      </c>
      <c r="F10" s="11" t="inlineStr">
        <is>
          <t>Markup %</t>
        </is>
      </c>
      <c r="G10" s="10" t="inlineStr">
        <is>
          <t>Client Price</t>
        </is>
      </c>
      <c r="H10" s="11" t="inlineStr">
        <is>
          <t>Mat. Allowance?</t>
        </is>
      </c>
      <c r="I10" s="8" t="inlineStr">
        <is>
          <t>Notes</t>
        </is>
      </c>
    </row>
    <row r="11" ht="13" customHeight="1">
      <c r="C11" s="12" t="inlineStr">
        <is>
          <t>what YOU pay</t>
        </is>
      </c>
      <c r="D11" s="12" t="inlineStr">
        <is>
          <t>what YOU pay</t>
        </is>
      </c>
      <c r="E11" s="12">
        <f>C+D</f>
        <v/>
      </c>
      <c r="F11" s="12" t="inlineStr">
        <is>
          <t>default 40%</t>
        </is>
      </c>
      <c r="G11" s="12">
        <f>E×(1+F)</f>
        <v/>
      </c>
      <c r="H11" s="12" t="inlineStr">
        <is>
          <t>✔ = excl. Gary</t>
        </is>
      </c>
    </row>
    <row r="12" ht="22" customHeight="1">
      <c r="A12" s="13" t="inlineStr">
        <is>
          <t xml:space="preserve">  ▸  DEMO</t>
        </is>
      </c>
      <c r="B12" s="108" t="n"/>
      <c r="C12" s="108" t="n"/>
      <c r="D12" s="108" t="n"/>
      <c r="E12" s="108" t="n"/>
      <c r="F12" s="108" t="n"/>
      <c r="G12" s="108" t="n"/>
      <c r="H12" s="108" t="n"/>
      <c r="I12" s="109" t="n"/>
    </row>
    <row r="13" ht="19" customHeight="1">
      <c r="A13" s="14" t="n"/>
      <c r="B13" s="15" t="inlineStr">
        <is>
          <t>Demo &amp; Haul Away</t>
        </is>
      </c>
      <c r="C13" s="16" t="n"/>
      <c r="D13" s="16" t="n"/>
      <c r="E13" s="17">
        <f>IFERROR(C13+D13,0)</f>
        <v/>
      </c>
      <c r="F13" s="18">
        <f>$F$6</f>
        <v/>
      </c>
      <c r="G13" s="19">
        <f>IFERROR(E13*(1+F13),0)</f>
        <v/>
      </c>
      <c r="H13" s="20" t="inlineStr">
        <is>
          <t>—</t>
        </is>
      </c>
      <c r="I13" s="14" t="n"/>
    </row>
    <row r="14" ht="19" customHeight="1">
      <c r="A14" s="21" t="n"/>
      <c r="B14" s="22" t="inlineStr">
        <is>
          <t>Dumpster Rental</t>
        </is>
      </c>
      <c r="C14" s="23" t="n"/>
      <c r="D14" s="23" t="n"/>
      <c r="E14" s="24">
        <f>IFERROR(C14+D14,0)</f>
        <v/>
      </c>
      <c r="F14" s="18">
        <f>$F$6</f>
        <v/>
      </c>
      <c r="G14" s="19">
        <f>IFERROR(E14*(1+F14),0)</f>
        <v/>
      </c>
      <c r="H14" s="25" t="inlineStr">
        <is>
          <t>—</t>
        </is>
      </c>
      <c r="I14" s="21" t="n"/>
    </row>
    <row r="15" ht="22" customHeight="1">
      <c r="A15" s="26" t="inlineStr">
        <is>
          <t xml:space="preserve">  Demo Subtotal</t>
        </is>
      </c>
      <c r="B15" s="110" t="n"/>
      <c r="C15" s="28">
        <f>SUM(C13:C14)</f>
        <v/>
      </c>
      <c r="D15" s="28">
        <f>SUM(D13:D14)</f>
        <v/>
      </c>
      <c r="E15" s="29">
        <f>SUM(E13:E14)</f>
        <v/>
      </c>
      <c r="F15" s="30" t="n"/>
      <c r="G15" s="31">
        <f>SUM(G13:G14)</f>
        <v/>
      </c>
      <c r="H15" s="32">
        <f>SUMIF(H13:H14,"✔",G13:G14)</f>
        <v/>
      </c>
      <c r="I15" s="30" t="n"/>
    </row>
    <row r="17" ht="22" customHeight="1">
      <c r="A17" s="13" t="inlineStr">
        <is>
          <t xml:space="preserve">  ▸  KITCHEN</t>
        </is>
      </c>
      <c r="B17" s="108" t="n"/>
      <c r="C17" s="108" t="n"/>
      <c r="D17" s="108" t="n"/>
      <c r="E17" s="108" t="n"/>
      <c r="F17" s="108" t="n"/>
      <c r="G17" s="108" t="n"/>
      <c r="H17" s="108" t="n"/>
      <c r="I17" s="109" t="n"/>
    </row>
    <row r="18" ht="19" customHeight="1">
      <c r="A18" s="21" t="n"/>
      <c r="B18" s="22" t="inlineStr">
        <is>
          <t>Cabinet Install</t>
        </is>
      </c>
      <c r="C18" s="23" t="n"/>
      <c r="D18" s="23" t="n"/>
      <c r="E18" s="24">
        <f>IFERROR(C18+D18,0)</f>
        <v/>
      </c>
      <c r="F18" s="18">
        <f>$F$6</f>
        <v/>
      </c>
      <c r="G18" s="19">
        <f>IFERROR(E18*(1+F18),0)</f>
        <v/>
      </c>
      <c r="H18" s="25" t="inlineStr">
        <is>
          <t>—</t>
        </is>
      </c>
      <c r="I18" s="21" t="n"/>
    </row>
    <row r="19" ht="19" customHeight="1">
      <c r="A19" s="33" t="n"/>
      <c r="B19" s="34" t="inlineStr">
        <is>
          <t>Cabinets (Material Allowance)</t>
        </is>
      </c>
      <c r="C19" s="35" t="n"/>
      <c r="D19" s="35" t="n"/>
      <c r="E19" s="36">
        <f>IFERROR(C19+D19,0)</f>
        <v/>
      </c>
      <c r="F19" s="37">
        <f>$F$6</f>
        <v/>
      </c>
      <c r="G19" s="38">
        <f>IFERROR(E19*(1+F19),0)</f>
        <v/>
      </c>
      <c r="H19" s="39" t="inlineStr">
        <is>
          <t>✔</t>
        </is>
      </c>
      <c r="I19" s="33" t="n"/>
    </row>
    <row r="20" ht="19" customHeight="1">
      <c r="A20" s="21" t="n"/>
      <c r="B20" s="22" t="inlineStr">
        <is>
          <t>Countertop Install</t>
        </is>
      </c>
      <c r="C20" s="23" t="n"/>
      <c r="D20" s="23" t="n"/>
      <c r="E20" s="24">
        <f>IFERROR(C20+D20,0)</f>
        <v/>
      </c>
      <c r="F20" s="18">
        <f>$F$6</f>
        <v/>
      </c>
      <c r="G20" s="19">
        <f>IFERROR(E20*(1+F20),0)</f>
        <v/>
      </c>
      <c r="H20" s="25" t="inlineStr">
        <is>
          <t>—</t>
        </is>
      </c>
      <c r="I20" s="21" t="n"/>
    </row>
    <row r="21" ht="19" customHeight="1">
      <c r="A21" s="33" t="n"/>
      <c r="B21" s="34" t="inlineStr">
        <is>
          <t>Countertop Material</t>
        </is>
      </c>
      <c r="C21" s="35" t="n"/>
      <c r="D21" s="35" t="n"/>
      <c r="E21" s="36">
        <f>IFERROR(C21+D21,0)</f>
        <v/>
      </c>
      <c r="F21" s="37">
        <f>$F$6</f>
        <v/>
      </c>
      <c r="G21" s="38">
        <f>IFERROR(E21*(1+F21),0)</f>
        <v/>
      </c>
      <c r="H21" s="39" t="inlineStr">
        <is>
          <t>✔</t>
        </is>
      </c>
      <c r="I21" s="33" t="n"/>
    </row>
    <row r="22" ht="19" customHeight="1">
      <c r="A22" s="21" t="n"/>
      <c r="B22" s="22" t="inlineStr">
        <is>
          <t>Backsplash — Labor</t>
        </is>
      </c>
      <c r="C22" s="23" t="n"/>
      <c r="D22" s="23" t="n"/>
      <c r="E22" s="24">
        <f>IFERROR(C22+D22,0)</f>
        <v/>
      </c>
      <c r="F22" s="18">
        <f>$F$6</f>
        <v/>
      </c>
      <c r="G22" s="19">
        <f>IFERROR(E22*(1+F22),0)</f>
        <v/>
      </c>
      <c r="H22" s="25" t="inlineStr">
        <is>
          <t>—</t>
        </is>
      </c>
      <c r="I22" s="21" t="n"/>
    </row>
    <row r="23" ht="19" customHeight="1">
      <c r="A23" s="33" t="n"/>
      <c r="B23" s="34" t="inlineStr">
        <is>
          <t>Backsplash — Material</t>
        </is>
      </c>
      <c r="C23" s="35" t="n"/>
      <c r="D23" s="35" t="n"/>
      <c r="E23" s="36">
        <f>IFERROR(C23+D23,0)</f>
        <v/>
      </c>
      <c r="F23" s="37">
        <f>$F$6</f>
        <v/>
      </c>
      <c r="G23" s="38">
        <f>IFERROR(E23*(1+F23),0)</f>
        <v/>
      </c>
      <c r="H23" s="39" t="inlineStr">
        <is>
          <t>✔</t>
        </is>
      </c>
      <c r="I23" s="33" t="n"/>
    </row>
    <row r="24" ht="19" customHeight="1">
      <c r="A24" s="21" t="n"/>
      <c r="B24" s="22" t="inlineStr">
        <is>
          <t>Plumbing (rough + finish)</t>
        </is>
      </c>
      <c r="C24" s="23" t="n"/>
      <c r="D24" s="23" t="n"/>
      <c r="E24" s="24">
        <f>IFERROR(C24+D24,0)</f>
        <v/>
      </c>
      <c r="F24" s="18">
        <f>$F$6</f>
        <v/>
      </c>
      <c r="G24" s="19">
        <f>IFERROR(E24*(1+F24),0)</f>
        <v/>
      </c>
      <c r="H24" s="25" t="inlineStr">
        <is>
          <t>—</t>
        </is>
      </c>
      <c r="I24" s="21" t="n"/>
    </row>
    <row r="25" ht="19" customHeight="1">
      <c r="A25" s="14" t="n"/>
      <c r="B25" s="15" t="inlineStr">
        <is>
          <t>Electrical</t>
        </is>
      </c>
      <c r="C25" s="16" t="n"/>
      <c r="D25" s="16" t="n"/>
      <c r="E25" s="17">
        <f>IFERROR(C25+D25,0)</f>
        <v/>
      </c>
      <c r="F25" s="18">
        <f>$F$6</f>
        <v/>
      </c>
      <c r="G25" s="19">
        <f>IFERROR(E25*(1+F25),0)</f>
        <v/>
      </c>
      <c r="H25" s="20" t="inlineStr">
        <is>
          <t>—</t>
        </is>
      </c>
      <c r="I25" s="14" t="n"/>
    </row>
    <row r="26" ht="19" customHeight="1">
      <c r="A26" s="33" t="n"/>
      <c r="B26" s="34" t="inlineStr">
        <is>
          <t>Fixtures Allowance</t>
        </is>
      </c>
      <c r="C26" s="35" t="n"/>
      <c r="D26" s="35" t="n"/>
      <c r="E26" s="36">
        <f>IFERROR(C26+D26,0)</f>
        <v/>
      </c>
      <c r="F26" s="37">
        <f>$F$6</f>
        <v/>
      </c>
      <c r="G26" s="38">
        <f>IFERROR(E26*(1+F26),0)</f>
        <v/>
      </c>
      <c r="H26" s="39" t="inlineStr">
        <is>
          <t>✔</t>
        </is>
      </c>
      <c r="I26" s="33" t="n"/>
    </row>
    <row r="27" ht="19" customHeight="1">
      <c r="A27" s="14" t="n"/>
      <c r="B27" s="15" t="inlineStr">
        <is>
          <t>Appliance Hookup</t>
        </is>
      </c>
      <c r="C27" s="16" t="n"/>
      <c r="D27" s="16" t="n"/>
      <c r="E27" s="17">
        <f>IFERROR(C27+D27,0)</f>
        <v/>
      </c>
      <c r="F27" s="18">
        <f>$F$6</f>
        <v/>
      </c>
      <c r="G27" s="19">
        <f>IFERROR(E27*(1+F27),0)</f>
        <v/>
      </c>
      <c r="H27" s="20" t="inlineStr">
        <is>
          <t>—</t>
        </is>
      </c>
      <c r="I27" s="14" t="n"/>
    </row>
    <row r="28" ht="19" customHeight="1">
      <c r="A28" s="21" t="n"/>
      <c r="B28" s="22" t="inlineStr">
        <is>
          <t>Drywall Repair</t>
        </is>
      </c>
      <c r="C28" s="23" t="n"/>
      <c r="D28" s="23" t="n"/>
      <c r="E28" s="24">
        <f>IFERROR(C28+D28,0)</f>
        <v/>
      </c>
      <c r="F28" s="18">
        <f>$F$6</f>
        <v/>
      </c>
      <c r="G28" s="19">
        <f>IFERROR(E28*(1+F28),0)</f>
        <v/>
      </c>
      <c r="H28" s="25" t="inlineStr">
        <is>
          <t>—</t>
        </is>
      </c>
      <c r="I28" s="21" t="n"/>
    </row>
    <row r="29" ht="19" customHeight="1">
      <c r="A29" s="14" t="n"/>
      <c r="B29" s="15" t="inlineStr">
        <is>
          <t>Paint</t>
        </is>
      </c>
      <c r="C29" s="16" t="n"/>
      <c r="D29" s="16" t="n"/>
      <c r="E29" s="17">
        <f>IFERROR(C29+D29,0)</f>
        <v/>
      </c>
      <c r="F29" s="18">
        <f>$F$6</f>
        <v/>
      </c>
      <c r="G29" s="19">
        <f>IFERROR(E29*(1+F29),0)</f>
        <v/>
      </c>
      <c r="H29" s="20" t="inlineStr">
        <is>
          <t>—</t>
        </is>
      </c>
      <c r="I29" s="14" t="n"/>
    </row>
    <row r="30" ht="22" customHeight="1">
      <c r="A30" s="26" t="inlineStr">
        <is>
          <t xml:space="preserve">  Kitchen Subtotal</t>
        </is>
      </c>
      <c r="B30" s="110" t="n"/>
      <c r="C30" s="28">
        <f>SUM(C18:C29)</f>
        <v/>
      </c>
      <c r="D30" s="28">
        <f>SUM(D18:D29)</f>
        <v/>
      </c>
      <c r="E30" s="29">
        <f>SUM(E18:E29)</f>
        <v/>
      </c>
      <c r="F30" s="30" t="n"/>
      <c r="G30" s="31">
        <f>SUM(G18:G29)</f>
        <v/>
      </c>
      <c r="H30" s="32">
        <f>SUMIF(H18:H29,"✔",G18:G29)</f>
        <v/>
      </c>
      <c r="I30" s="30" t="n"/>
    </row>
    <row r="32" ht="22" customHeight="1">
      <c r="A32" s="13" t="inlineStr">
        <is>
          <t xml:space="preserve">  ▸  BATHROOM</t>
        </is>
      </c>
      <c r="B32" s="108" t="n"/>
      <c r="C32" s="108" t="n"/>
      <c r="D32" s="108" t="n"/>
      <c r="E32" s="108" t="n"/>
      <c r="F32" s="108" t="n"/>
      <c r="G32" s="108" t="n"/>
      <c r="H32" s="108" t="n"/>
      <c r="I32" s="109" t="n"/>
    </row>
    <row r="33" ht="19" customHeight="1">
      <c r="A33" s="14" t="n"/>
      <c r="B33" s="15" t="inlineStr">
        <is>
          <t>Demo &amp; Haul Away</t>
        </is>
      </c>
      <c r="C33" s="16" t="n">
        <v>0</v>
      </c>
      <c r="D33" s="16" t="n">
        <v>1000</v>
      </c>
      <c r="E33" s="17">
        <f>IFERROR(C33+D33,0)</f>
        <v/>
      </c>
      <c r="F33" s="18">
        <f>$F$6</f>
        <v/>
      </c>
      <c r="G33" s="19">
        <f>IFERROR(E33*(1+F33),0)</f>
        <v/>
      </c>
      <c r="H33" s="20" t="inlineStr">
        <is>
          <t>—</t>
        </is>
      </c>
      <c r="I33" s="14" t="n"/>
    </row>
    <row r="34" ht="19" customHeight="1">
      <c r="A34" s="21" t="n"/>
      <c r="B34" s="22" t="inlineStr">
        <is>
          <t>Waterproofing / Hot Mop</t>
        </is>
      </c>
      <c r="C34" s="23" t="n">
        <v>0</v>
      </c>
      <c r="D34" s="23" t="n">
        <v>550</v>
      </c>
      <c r="E34" s="24">
        <f>IFERROR(C34+D34,0)</f>
        <v/>
      </c>
      <c r="F34" s="18">
        <f>$F$6</f>
        <v/>
      </c>
      <c r="G34" s="19">
        <f>IFERROR(E34*(1+F34),0)</f>
        <v/>
      </c>
      <c r="H34" s="25" t="inlineStr">
        <is>
          <t>—</t>
        </is>
      </c>
      <c r="I34" s="21" t="n"/>
    </row>
    <row r="35" ht="19" customHeight="1">
      <c r="A35" s="14" t="n"/>
      <c r="B35" s="15" t="inlineStr">
        <is>
          <t>Tile Labor — Shower &amp; Toilet Room Walls (96" high, niche)</t>
        </is>
      </c>
      <c r="C35" s="16" t="n">
        <v>0</v>
      </c>
      <c r="D35" s="16" t="n">
        <v>3400</v>
      </c>
      <c r="E35" s="17">
        <f>IFERROR(C35+D35,0)</f>
        <v/>
      </c>
      <c r="F35" s="18">
        <f>$F$6</f>
        <v/>
      </c>
      <c r="G35" s="19">
        <f>IFERROR(E35*(1+F35),0)</f>
        <v/>
      </c>
      <c r="H35" s="20" t="inlineStr">
        <is>
          <t>—</t>
        </is>
      </c>
      <c r="I35" s="14" t="n"/>
    </row>
    <row r="36" ht="19" customHeight="1">
      <c r="A36" s="33" t="n"/>
      <c r="B36" s="34" t="inlineStr">
        <is>
          <t>Shower Tile (Allowance)</t>
        </is>
      </c>
      <c r="C36" s="35" t="n">
        <v>1600</v>
      </c>
      <c r="D36" s="35" t="n">
        <v>0</v>
      </c>
      <c r="E36" s="36">
        <f>IFERROR(C36+D36,0)</f>
        <v/>
      </c>
      <c r="F36" s="37" t="n">
        <v>0</v>
      </c>
      <c r="G36" s="38">
        <f>IFERROR(E36*(1+F36),0)</f>
        <v/>
      </c>
      <c r="H36" s="39" t="inlineStr">
        <is>
          <t>✔</t>
        </is>
      </c>
      <c r="I36" s="33" t="n"/>
    </row>
    <row r="37" ht="19" customHeight="1">
      <c r="A37" s="14" t="n"/>
      <c r="B37" s="15" t="inlineStr">
        <is>
          <t>Plumbing — Shower, 2 Sinks, Bidet Rough-in</t>
        </is>
      </c>
      <c r="C37" s="16" t="n">
        <v>0</v>
      </c>
      <c r="D37" s="16" t="n">
        <v>1000</v>
      </c>
      <c r="E37" s="17">
        <f>IFERROR(C37+D37,0)</f>
        <v/>
      </c>
      <c r="F37" s="18">
        <f>$F$6</f>
        <v/>
      </c>
      <c r="G37" s="19">
        <f>IFERROR(E37*(1+F37),0)</f>
        <v/>
      </c>
      <c r="H37" s="20" t="inlineStr">
        <is>
          <t>—</t>
        </is>
      </c>
      <c r="I37" s="14" t="n"/>
    </row>
    <row r="38" ht="19" customHeight="1">
      <c r="A38" s="33" t="n"/>
      <c r="B38" s="34" t="inlineStr">
        <is>
          <t>Floor Tile (Allowance)</t>
        </is>
      </c>
      <c r="C38" s="35" t="n">
        <v>500</v>
      </c>
      <c r="D38" s="35" t="n">
        <v>0</v>
      </c>
      <c r="E38" s="36">
        <f>IFERROR(C38+D38,0)</f>
        <v/>
      </c>
      <c r="F38" s="37" t="n">
        <v>0</v>
      </c>
      <c r="G38" s="38">
        <f>IFERROR(E38*(1+F38),0)</f>
        <v/>
      </c>
      <c r="H38" s="39" t="inlineStr">
        <is>
          <t>✔</t>
        </is>
      </c>
      <c r="I38" s="33" t="n"/>
    </row>
    <row r="39" ht="19" customHeight="1">
      <c r="A39" s="14" t="n"/>
      <c r="B39" s="15" t="inlineStr">
        <is>
          <t>Set Vanity + Plumb 2 Sinks (client-supplied vanity/faucets)</t>
        </is>
      </c>
      <c r="C39" s="16" t="n">
        <v>0</v>
      </c>
      <c r="D39" s="16" t="n">
        <v>600</v>
      </c>
      <c r="E39" s="17">
        <f>IFERROR(C39+D39,0)</f>
        <v/>
      </c>
      <c r="F39" s="18">
        <f>$F$6</f>
        <v/>
      </c>
      <c r="G39" s="19">
        <f>IFERROR(E39*(1+F39),0)</f>
        <v/>
      </c>
      <c r="H39" s="20" t="inlineStr">
        <is>
          <t>—</t>
        </is>
      </c>
      <c r="I39" s="14" t="n"/>
    </row>
    <row r="40" ht="19" customHeight="1">
      <c r="A40" s="33" t="n"/>
      <c r="B40" s="34" t="inlineStr">
        <is>
          <t>Double Sink Vanity (Allowance)</t>
        </is>
      </c>
      <c r="C40" s="35" t="n">
        <v>1000</v>
      </c>
      <c r="D40" s="35" t="n">
        <v>0</v>
      </c>
      <c r="E40" s="36">
        <f>IFERROR(C40+D40,0)</f>
        <v/>
      </c>
      <c r="F40" s="37" t="n">
        <v>0</v>
      </c>
      <c r="G40" s="38">
        <f>IFERROR(E40*(1+F40),0)</f>
        <v/>
      </c>
      <c r="H40" s="39" t="inlineStr">
        <is>
          <t>✔</t>
        </is>
      </c>
      <c r="I40" s="33" t="n"/>
    </row>
    <row r="41" ht="19" customHeight="1">
      <c r="A41" s="33" t="n"/>
      <c r="B41" s="34" t="inlineStr">
        <is>
          <t>Bidet Toilet (Allowance — Pass-through)</t>
        </is>
      </c>
      <c r="C41" s="35" t="n">
        <v>1000</v>
      </c>
      <c r="D41" s="35" t="n">
        <v>0</v>
      </c>
      <c r="E41" s="36">
        <f>IFERROR(C41+D41,0)</f>
        <v/>
      </c>
      <c r="F41" s="37" t="n">
        <v>0</v>
      </c>
      <c r="G41" s="38">
        <f>IFERROR(E41*(1+F41),0)</f>
        <v/>
      </c>
      <c r="H41" s="39" t="inlineStr">
        <is>
          <t>✔</t>
        </is>
      </c>
      <c r="I41" s="33" t="n"/>
    </row>
    <row r="42" ht="19" customHeight="1">
      <c r="A42" s="21" t="n"/>
      <c r="B42" s="22" t="inlineStr">
        <is>
          <t>Pocket Door — Frame + Install</t>
        </is>
      </c>
      <c r="C42" s="23" t="n">
        <v>0</v>
      </c>
      <c r="D42" s="23" t="n">
        <v>1200</v>
      </c>
      <c r="E42" s="24">
        <f>IFERROR(C42+D42,0)</f>
        <v/>
      </c>
      <c r="F42" s="18">
        <f>$F$6</f>
        <v/>
      </c>
      <c r="G42" s="19">
        <f>IFERROR(E42*(1+F42),0)</f>
        <v/>
      </c>
      <c r="H42" s="25" t="inlineStr">
        <is>
          <t>—</t>
        </is>
      </c>
      <c r="I42" s="21" t="n"/>
    </row>
    <row r="43" ht="19" customHeight="1">
      <c r="A43" s="14" t="n"/>
      <c r="B43" s="15" t="inlineStr">
        <is>
          <t>Electrical — Bidet Circuit, Vent Fan, Mirror Lights x2, Relocate Switch/Outlet</t>
        </is>
      </c>
      <c r="C43" s="16" t="n">
        <v>0</v>
      </c>
      <c r="D43" s="16" t="n">
        <v>900</v>
      </c>
      <c r="E43" s="17">
        <f>IFERROR(C43+D43,0)</f>
        <v/>
      </c>
      <c r="F43" s="18">
        <f>$F$6</f>
        <v/>
      </c>
      <c r="G43" s="19">
        <f>IFERROR(E43*(1+F43),0)</f>
        <v/>
      </c>
      <c r="H43" s="20" t="inlineStr">
        <is>
          <t>—</t>
        </is>
      </c>
      <c r="I43" s="14" t="n"/>
    </row>
    <row r="44" ht="19" customHeight="1">
      <c r="A44" s="21" t="n"/>
      <c r="B44" s="22" t="inlineStr">
        <is>
          <t>Drywall / Backer / Soffit Removal + Patch</t>
        </is>
      </c>
      <c r="C44" s="23" t="n">
        <v>0</v>
      </c>
      <c r="D44" s="23" t="n">
        <v>800</v>
      </c>
      <c r="E44" s="24">
        <f>IFERROR(C44+D44,0)</f>
        <v/>
      </c>
      <c r="F44" s="18">
        <f>$F$6</f>
        <v/>
      </c>
      <c r="G44" s="19">
        <f>IFERROR(E44*(1+F44),0)</f>
        <v/>
      </c>
      <c r="H44" s="25" t="inlineStr">
        <is>
          <t>—</t>
        </is>
      </c>
      <c r="I44" s="21" t="n"/>
    </row>
    <row r="45" ht="19" customHeight="1">
      <c r="A45" s="14" t="n"/>
      <c r="B45" s="15" t="inlineStr">
        <is>
          <t>Hang Mirrors (owner-supplied), Towel Bar, TP Holder</t>
        </is>
      </c>
      <c r="C45" s="16" t="n">
        <v>0</v>
      </c>
      <c r="D45" s="16" t="n">
        <v>150</v>
      </c>
      <c r="E45" s="17">
        <f>IFERROR(C45+D45,0)</f>
        <v/>
      </c>
      <c r="F45" s="18">
        <f>$F$6</f>
        <v/>
      </c>
      <c r="G45" s="19">
        <f>IFERROR(E45*(1+F45),0)</f>
        <v/>
      </c>
      <c r="H45" s="20" t="inlineStr">
        <is>
          <t>—</t>
        </is>
      </c>
      <c r="I45" s="14" t="n"/>
    </row>
    <row r="46" ht="19" customHeight="1">
      <c r="A46" s="21" t="n"/>
      <c r="B46" s="22" t="inlineStr">
        <is>
          <t>Sliding Closet Doors + Track (Allowance)</t>
        </is>
      </c>
      <c r="C46" s="23" t="n">
        <v>700</v>
      </c>
      <c r="D46" s="23" t="n">
        <v>0</v>
      </c>
      <c r="E46" s="24">
        <f>IFERROR(C46+D46,0)</f>
        <v/>
      </c>
      <c r="F46" s="18" t="n">
        <v>0</v>
      </c>
      <c r="G46" s="19">
        <f>IFERROR(E46*(1+F46),0)</f>
        <v/>
      </c>
      <c r="H46" s="25" t="inlineStr">
        <is>
          <t>✔</t>
        </is>
      </c>
      <c r="I46" s="21" t="n"/>
    </row>
    <row r="47" ht="19" customHeight="1">
      <c r="A47" s="14" t="n"/>
      <c r="B47" s="15" t="inlineStr">
        <is>
          <t>Sliding Closet Door Install Labor + Floor Protection</t>
        </is>
      </c>
      <c r="C47" s="16" t="n">
        <v>0</v>
      </c>
      <c r="D47" s="16" t="n">
        <v>550</v>
      </c>
      <c r="E47" s="17">
        <f>IFERROR(C47+D47,0)</f>
        <v/>
      </c>
      <c r="F47" s="18">
        <f>$F$6</f>
        <v/>
      </c>
      <c r="G47" s="19">
        <f>IFERROR(E47*(1+F47),0)</f>
        <v/>
      </c>
      <c r="H47" s="20" t="inlineStr">
        <is>
          <t>—</t>
        </is>
      </c>
      <c r="I47" s="14" t="n"/>
    </row>
    <row r="48" ht="22" customHeight="1">
      <c r="A48" s="26" t="inlineStr">
        <is>
          <t xml:space="preserve">  Bathroom Subtotal</t>
        </is>
      </c>
      <c r="B48" s="110" t="n"/>
      <c r="C48" s="28">
        <f>SUM(C33:C47)</f>
        <v/>
      </c>
      <c r="D48" s="28">
        <f>SUM(D33:D47)</f>
        <v/>
      </c>
      <c r="E48" s="29">
        <f>SUM(E33:E47)</f>
        <v/>
      </c>
      <c r="F48" s="30" t="n"/>
      <c r="G48" s="31">
        <f>SUM(G33:G47)</f>
        <v/>
      </c>
      <c r="H48" s="32">
        <f>SUMIF(H33:H47,"✔",G33:G47)</f>
        <v/>
      </c>
      <c r="I48" s="30" t="n"/>
    </row>
    <row r="50" ht="22" customHeight="1">
      <c r="A50" s="13" t="inlineStr">
        <is>
          <t xml:space="preserve">  ▸  FLOORING</t>
        </is>
      </c>
      <c r="B50" s="108" t="n"/>
      <c r="C50" s="108" t="n"/>
      <c r="D50" s="108" t="n"/>
      <c r="E50" s="108" t="n"/>
      <c r="F50" s="108" t="n"/>
      <c r="G50" s="108" t="n"/>
      <c r="H50" s="108" t="n"/>
      <c r="I50" s="109" t="n"/>
    </row>
    <row r="51" ht="19" customHeight="1">
      <c r="A51" s="14" t="n"/>
      <c r="B51" s="15" t="inlineStr">
        <is>
          <t>Floor Demo</t>
        </is>
      </c>
      <c r="C51" s="16" t="n"/>
      <c r="D51" s="16" t="n"/>
      <c r="E51" s="17">
        <f>IFERROR(C51+D51,0)</f>
        <v/>
      </c>
      <c r="F51" s="18">
        <f>$F$6</f>
        <v/>
      </c>
      <c r="G51" s="19">
        <f>IFERROR(E51*(1+F51),0)</f>
        <v/>
      </c>
      <c r="H51" s="20" t="inlineStr">
        <is>
          <t>—</t>
        </is>
      </c>
      <c r="I51" s="14" t="n"/>
    </row>
    <row r="52" ht="19" customHeight="1">
      <c r="A52" s="21" t="n"/>
      <c r="B52" s="22" t="inlineStr">
        <is>
          <t>Flooring — Install</t>
        </is>
      </c>
      <c r="C52" s="23" t="n"/>
      <c r="D52" s="23" t="n"/>
      <c r="E52" s="24">
        <f>IFERROR(C52+D52,0)</f>
        <v/>
      </c>
      <c r="F52" s="18">
        <f>$F$6</f>
        <v/>
      </c>
      <c r="G52" s="19">
        <f>IFERROR(E52*(1+F52),0)</f>
        <v/>
      </c>
      <c r="H52" s="25" t="inlineStr">
        <is>
          <t>—</t>
        </is>
      </c>
      <c r="I52" s="21" t="n"/>
    </row>
    <row r="53" ht="19" customHeight="1">
      <c r="A53" s="33" t="n"/>
      <c r="B53" s="34" t="inlineStr">
        <is>
          <t>Flooring — Material</t>
        </is>
      </c>
      <c r="C53" s="35" t="n"/>
      <c r="D53" s="35" t="n"/>
      <c r="E53" s="36">
        <f>IFERROR(C53+D53,0)</f>
        <v/>
      </c>
      <c r="F53" s="37">
        <f>$F$6</f>
        <v/>
      </c>
      <c r="G53" s="38">
        <f>IFERROR(E53*(1+F53),0)</f>
        <v/>
      </c>
      <c r="H53" s="39" t="inlineStr">
        <is>
          <t>✔</t>
        </is>
      </c>
      <c r="I53" s="33" t="n"/>
    </row>
    <row r="54" ht="19" customHeight="1">
      <c r="A54" s="21" t="n"/>
      <c r="B54" s="22" t="inlineStr">
        <is>
          <t>Baseboard</t>
        </is>
      </c>
      <c r="C54" s="23" t="n"/>
      <c r="D54" s="23" t="n"/>
      <c r="E54" s="24">
        <f>IFERROR(C54+D54,0)</f>
        <v/>
      </c>
      <c r="F54" s="18">
        <f>$F$6</f>
        <v/>
      </c>
      <c r="G54" s="19">
        <f>IFERROR(E54*(1+F54),0)</f>
        <v/>
      </c>
      <c r="H54" s="25" t="inlineStr">
        <is>
          <t>—</t>
        </is>
      </c>
      <c r="I54" s="21" t="n"/>
    </row>
    <row r="55" ht="22" customHeight="1">
      <c r="A55" s="26" t="inlineStr">
        <is>
          <t xml:space="preserve">  Flooring Subtotal</t>
        </is>
      </c>
      <c r="B55" s="110" t="n"/>
      <c r="C55" s="28">
        <f>SUM(C51:C54)</f>
        <v/>
      </c>
      <c r="D55" s="28">
        <f>SUM(D51:D54)</f>
        <v/>
      </c>
      <c r="E55" s="29">
        <f>SUM(E51:E54)</f>
        <v/>
      </c>
      <c r="F55" s="30" t="n"/>
      <c r="G55" s="31">
        <f>SUM(G51:G54)</f>
        <v/>
      </c>
      <c r="H55" s="32">
        <f>SUMIF(H51:H54,"✔",G51:G54)</f>
        <v/>
      </c>
      <c r="I55" s="30" t="n"/>
    </row>
    <row r="57" ht="22" customHeight="1">
      <c r="A57" s="13" t="inlineStr">
        <is>
          <t xml:space="preserve">  ▸  PAINT &amp; DRYWALL</t>
        </is>
      </c>
      <c r="B57" s="108" t="n"/>
      <c r="C57" s="108" t="n"/>
      <c r="D57" s="108" t="n"/>
      <c r="E57" s="108" t="n"/>
      <c r="F57" s="108" t="n"/>
      <c r="G57" s="108" t="n"/>
      <c r="H57" s="108" t="n"/>
      <c r="I57" s="109" t="n"/>
    </row>
    <row r="58" ht="19" customHeight="1">
      <c r="A58" s="21" t="n"/>
      <c r="B58" s="22" t="inlineStr">
        <is>
          <t>Interior Paint</t>
        </is>
      </c>
      <c r="C58" s="23" t="n"/>
      <c r="D58" s="23" t="n"/>
      <c r="E58" s="24">
        <f>IFERROR(C58+D58,0)</f>
        <v/>
      </c>
      <c r="F58" s="18">
        <f>$F$6</f>
        <v/>
      </c>
      <c r="G58" s="19">
        <f>IFERROR(E58*(1+F58),0)</f>
        <v/>
      </c>
      <c r="H58" s="25" t="inlineStr">
        <is>
          <t>—</t>
        </is>
      </c>
      <c r="I58" s="21" t="n"/>
    </row>
    <row r="59" ht="19" customHeight="1">
      <c r="A59" s="14" t="n"/>
      <c r="B59" s="15" t="inlineStr">
        <is>
          <t>Drywall Repair / Texture</t>
        </is>
      </c>
      <c r="C59" s="16" t="n"/>
      <c r="D59" s="16" t="n"/>
      <c r="E59" s="17">
        <f>IFERROR(C59+D59,0)</f>
        <v/>
      </c>
      <c r="F59" s="18">
        <f>$F$6</f>
        <v/>
      </c>
      <c r="G59" s="19">
        <f>IFERROR(E59*(1+F59),0)</f>
        <v/>
      </c>
      <c r="H59" s="20" t="inlineStr">
        <is>
          <t>—</t>
        </is>
      </c>
      <c r="I59" s="14" t="n"/>
    </row>
    <row r="60" ht="19" customHeight="1">
      <c r="A60" s="21" t="n"/>
      <c r="B60" s="22" t="inlineStr">
        <is>
          <t>Popcorn Ceiling Removal</t>
        </is>
      </c>
      <c r="C60" s="23" t="n"/>
      <c r="D60" s="23" t="n"/>
      <c r="E60" s="24">
        <f>IFERROR(C60+D60,0)</f>
        <v/>
      </c>
      <c r="F60" s="18">
        <f>$F$6</f>
        <v/>
      </c>
      <c r="G60" s="19">
        <f>IFERROR(E60*(1+F60),0)</f>
        <v/>
      </c>
      <c r="H60" s="25" t="inlineStr">
        <is>
          <t>—</t>
        </is>
      </c>
      <c r="I60" s="21" t="n"/>
    </row>
    <row r="61" ht="19" customHeight="1">
      <c r="A61" s="14" t="n"/>
      <c r="B61" s="15" t="inlineStr">
        <is>
          <t>Exterior Paint</t>
        </is>
      </c>
      <c r="C61" s="16" t="n"/>
      <c r="D61" s="16" t="n"/>
      <c r="E61" s="17">
        <f>IFERROR(C61+D61,0)</f>
        <v/>
      </c>
      <c r="F61" s="18">
        <f>$F$6</f>
        <v/>
      </c>
      <c r="G61" s="19">
        <f>IFERROR(E61*(1+F61),0)</f>
        <v/>
      </c>
      <c r="H61" s="20" t="inlineStr">
        <is>
          <t>—</t>
        </is>
      </c>
      <c r="I61" s="14" t="n"/>
    </row>
    <row r="62" ht="22" customHeight="1">
      <c r="A62" s="26" t="inlineStr">
        <is>
          <t xml:space="preserve">  Paint &amp; Drywall Subtotal</t>
        </is>
      </c>
      <c r="B62" s="110" t="n"/>
      <c r="C62" s="28">
        <f>SUM(C58:C61)</f>
        <v/>
      </c>
      <c r="D62" s="28">
        <f>SUM(D58:D61)</f>
        <v/>
      </c>
      <c r="E62" s="29">
        <f>SUM(E58:E61)</f>
        <v/>
      </c>
      <c r="F62" s="30" t="n"/>
      <c r="G62" s="31">
        <f>SUM(G58:G61)</f>
        <v/>
      </c>
      <c r="H62" s="32">
        <f>SUMIF(H58:H61,"✔",G58:G61)</f>
        <v/>
      </c>
      <c r="I62" s="30" t="n"/>
    </row>
    <row r="64" ht="22" customHeight="1">
      <c r="A64" s="13" t="inlineStr">
        <is>
          <t xml:space="preserve">  ▸  ELECTRICAL</t>
        </is>
      </c>
      <c r="B64" s="108" t="n"/>
      <c r="C64" s="108" t="n"/>
      <c r="D64" s="108" t="n"/>
      <c r="E64" s="108" t="n"/>
      <c r="F64" s="108" t="n"/>
      <c r="G64" s="108" t="n"/>
      <c r="H64" s="108" t="n"/>
      <c r="I64" s="109" t="n"/>
    </row>
    <row r="65" ht="19" customHeight="1">
      <c r="A65" s="14" t="n"/>
      <c r="B65" s="15" t="inlineStr">
        <is>
          <t>Panel / Subpanel Work</t>
        </is>
      </c>
      <c r="C65" s="16" t="n"/>
      <c r="D65" s="16" t="n"/>
      <c r="E65" s="17">
        <f>IFERROR(C65+D65,0)</f>
        <v/>
      </c>
      <c r="F65" s="18">
        <f>$F$6</f>
        <v/>
      </c>
      <c r="G65" s="19">
        <f>IFERROR(E65*(1+F65),0)</f>
        <v/>
      </c>
      <c r="H65" s="20" t="inlineStr">
        <is>
          <t>—</t>
        </is>
      </c>
      <c r="I65" s="14" t="n"/>
    </row>
    <row r="66" ht="19" customHeight="1">
      <c r="A66" s="21" t="n"/>
      <c r="B66" s="22" t="inlineStr">
        <is>
          <t>Recessed Lights</t>
        </is>
      </c>
      <c r="C66" s="23" t="n"/>
      <c r="D66" s="23" t="n"/>
      <c r="E66" s="24">
        <f>IFERROR(C66+D66,0)</f>
        <v/>
      </c>
      <c r="F66" s="18">
        <f>$F$6</f>
        <v/>
      </c>
      <c r="G66" s="19">
        <f>IFERROR(E66*(1+F66),0)</f>
        <v/>
      </c>
      <c r="H66" s="25" t="inlineStr">
        <is>
          <t>—</t>
        </is>
      </c>
      <c r="I66" s="21" t="n"/>
    </row>
    <row r="67" ht="19" customHeight="1">
      <c r="A67" s="14" t="n"/>
      <c r="B67" s="15" t="inlineStr">
        <is>
          <t>Outlets / Switches</t>
        </is>
      </c>
      <c r="C67" s="16" t="n"/>
      <c r="D67" s="16" t="n"/>
      <c r="E67" s="17">
        <f>IFERROR(C67+D67,0)</f>
        <v/>
      </c>
      <c r="F67" s="18">
        <f>$F$6</f>
        <v/>
      </c>
      <c r="G67" s="19">
        <f>IFERROR(E67*(1+F67),0)</f>
        <v/>
      </c>
      <c r="H67" s="20" t="inlineStr">
        <is>
          <t>—</t>
        </is>
      </c>
      <c r="I67" s="14" t="n"/>
    </row>
    <row r="68" ht="19" customHeight="1">
      <c r="A68" s="21" t="n"/>
      <c r="B68" s="22" t="inlineStr">
        <is>
          <t>Ceiling Fans</t>
        </is>
      </c>
      <c r="C68" s="23" t="n"/>
      <c r="D68" s="23" t="n"/>
      <c r="E68" s="24">
        <f>IFERROR(C68+D68,0)</f>
        <v/>
      </c>
      <c r="F68" s="18">
        <f>$F$6</f>
        <v/>
      </c>
      <c r="G68" s="19">
        <f>IFERROR(E68*(1+F68),0)</f>
        <v/>
      </c>
      <c r="H68" s="25" t="inlineStr">
        <is>
          <t>—</t>
        </is>
      </c>
      <c r="I68" s="21" t="n"/>
    </row>
    <row r="69" ht="22" customHeight="1">
      <c r="A69" s="26" t="inlineStr">
        <is>
          <t xml:space="preserve">  Electrical Subtotal</t>
        </is>
      </c>
      <c r="B69" s="110" t="n"/>
      <c r="C69" s="28">
        <f>SUM(C65:C68)</f>
        <v/>
      </c>
      <c r="D69" s="28">
        <f>SUM(D65:D68)</f>
        <v/>
      </c>
      <c r="E69" s="29">
        <f>SUM(E65:E68)</f>
        <v/>
      </c>
      <c r="F69" s="30" t="n"/>
      <c r="G69" s="31">
        <f>SUM(G65:G68)</f>
        <v/>
      </c>
      <c r="H69" s="32">
        <f>SUMIF(H65:H68,"✔",G65:G68)</f>
        <v/>
      </c>
      <c r="I69" s="30" t="n"/>
    </row>
    <row r="71" ht="22" customHeight="1">
      <c r="A71" s="13" t="inlineStr">
        <is>
          <t xml:space="preserve">  ▸  PLUMBING</t>
        </is>
      </c>
      <c r="B71" s="108" t="n"/>
      <c r="C71" s="108" t="n"/>
      <c r="D71" s="108" t="n"/>
      <c r="E71" s="108" t="n"/>
      <c r="F71" s="108" t="n"/>
      <c r="G71" s="108" t="n"/>
      <c r="H71" s="108" t="n"/>
      <c r="I71" s="109" t="n"/>
    </row>
    <row r="72" ht="19" customHeight="1">
      <c r="A72" s="21" t="n"/>
      <c r="B72" s="22" t="inlineStr">
        <is>
          <t>Rough Plumbing</t>
        </is>
      </c>
      <c r="C72" s="23" t="n"/>
      <c r="D72" s="23" t="n"/>
      <c r="E72" s="24">
        <f>IFERROR(C72+D72,0)</f>
        <v/>
      </c>
      <c r="F72" s="18">
        <f>$F$6</f>
        <v/>
      </c>
      <c r="G72" s="19">
        <f>IFERROR(E72*(1+F72),0)</f>
        <v/>
      </c>
      <c r="H72" s="25" t="inlineStr">
        <is>
          <t>—</t>
        </is>
      </c>
      <c r="I72" s="21" t="n"/>
    </row>
    <row r="73" ht="19" customHeight="1">
      <c r="A73" s="14" t="n"/>
      <c r="B73" s="15" t="inlineStr">
        <is>
          <t>Finish Plumbing</t>
        </is>
      </c>
      <c r="C73" s="16" t="n"/>
      <c r="D73" s="16" t="n"/>
      <c r="E73" s="17">
        <f>IFERROR(C73+D73,0)</f>
        <v/>
      </c>
      <c r="F73" s="18">
        <f>$F$6</f>
        <v/>
      </c>
      <c r="G73" s="19">
        <f>IFERROR(E73*(1+F73),0)</f>
        <v/>
      </c>
      <c r="H73" s="20" t="inlineStr">
        <is>
          <t>—</t>
        </is>
      </c>
      <c r="I73" s="14" t="n"/>
    </row>
    <row r="74" ht="19" customHeight="1">
      <c r="A74" s="21" t="n"/>
      <c r="B74" s="22" t="inlineStr">
        <is>
          <t>Water Heater</t>
        </is>
      </c>
      <c r="C74" s="23" t="n"/>
      <c r="D74" s="23" t="n"/>
      <c r="E74" s="24">
        <f>IFERROR(C74+D74,0)</f>
        <v/>
      </c>
      <c r="F74" s="18">
        <f>$F$6</f>
        <v/>
      </c>
      <c r="G74" s="19">
        <f>IFERROR(E74*(1+F74),0)</f>
        <v/>
      </c>
      <c r="H74" s="25" t="inlineStr">
        <is>
          <t>—</t>
        </is>
      </c>
      <c r="I74" s="21" t="n"/>
    </row>
    <row r="75" ht="19" customHeight="1">
      <c r="A75" s="14" t="n"/>
      <c r="B75" s="15" t="inlineStr">
        <is>
          <t>Gas Line</t>
        </is>
      </c>
      <c r="C75" s="16" t="n"/>
      <c r="D75" s="16" t="n"/>
      <c r="E75" s="17">
        <f>IFERROR(C75+D75,0)</f>
        <v/>
      </c>
      <c r="F75" s="18">
        <f>$F$6</f>
        <v/>
      </c>
      <c r="G75" s="19">
        <f>IFERROR(E75*(1+F75),0)</f>
        <v/>
      </c>
      <c r="H75" s="20" t="inlineStr">
        <is>
          <t>—</t>
        </is>
      </c>
      <c r="I75" s="14" t="n"/>
    </row>
    <row r="76" ht="22" customHeight="1">
      <c r="A76" s="26" t="inlineStr">
        <is>
          <t xml:space="preserve">  Plumbing Subtotal</t>
        </is>
      </c>
      <c r="B76" s="110" t="n"/>
      <c r="C76" s="28">
        <f>SUM(C72:C75)</f>
        <v/>
      </c>
      <c r="D76" s="28">
        <f>SUM(D72:D75)</f>
        <v/>
      </c>
      <c r="E76" s="29">
        <f>SUM(E72:E75)</f>
        <v/>
      </c>
      <c r="F76" s="30" t="n"/>
      <c r="G76" s="31">
        <f>SUM(G72:G75)</f>
        <v/>
      </c>
      <c r="H76" s="32">
        <f>SUMIF(H72:H75,"✔",G72:G75)</f>
        <v/>
      </c>
      <c r="I76" s="30" t="n"/>
    </row>
    <row r="78" ht="22" customHeight="1">
      <c r="A78" s="13" t="inlineStr">
        <is>
          <t xml:space="preserve">  ▸  MISC / EXTRA</t>
        </is>
      </c>
      <c r="B78" s="108" t="n"/>
      <c r="C78" s="108" t="n"/>
      <c r="D78" s="108" t="n"/>
      <c r="E78" s="108" t="n"/>
      <c r="F78" s="108" t="n"/>
      <c r="G78" s="108" t="n"/>
      <c r="H78" s="108" t="n"/>
      <c r="I78" s="109" t="n"/>
    </row>
    <row r="79" ht="19" customHeight="1">
      <c r="A79" s="14" t="n"/>
      <c r="B79" s="15" t="inlineStr">
        <is>
          <t>Shower Glass Enclosure (68x34, semi-frameless)</t>
        </is>
      </c>
      <c r="C79" s="16" t="n">
        <v>0</v>
      </c>
      <c r="D79" s="16" t="n">
        <v>1600</v>
      </c>
      <c r="E79" s="17">
        <f>IFERROR(C79+D79,0)</f>
        <v/>
      </c>
      <c r="F79" s="18">
        <f>$F$6</f>
        <v/>
      </c>
      <c r="G79" s="19">
        <f>IFERROR(E79*(1+F79),0)</f>
        <v/>
      </c>
      <c r="H79" s="20" t="inlineStr">
        <is>
          <t>—</t>
        </is>
      </c>
      <c r="I79" s="14" t="inlineStr">
        <is>
          <t>Upgrade to full frameless ~+$500</t>
        </is>
      </c>
    </row>
    <row r="80" ht="19" customHeight="1">
      <c r="A80" s="21" t="n"/>
      <c r="B80" s="22" t="inlineStr">
        <is>
          <t>Mirror Lights x2 (Allowance)</t>
        </is>
      </c>
      <c r="C80" s="23" t="n">
        <v>500</v>
      </c>
      <c r="D80" s="23" t="n">
        <v>0</v>
      </c>
      <c r="E80" s="24">
        <f>IFERROR(C80+D80,0)</f>
        <v/>
      </c>
      <c r="F80" s="18" t="n">
        <v>0</v>
      </c>
      <c r="G80" s="19">
        <f>IFERROR(E80*(1+F80),0)</f>
        <v/>
      </c>
      <c r="H80" s="25" t="inlineStr">
        <is>
          <t>✔</t>
        </is>
      </c>
      <c r="I80" s="21" t="n"/>
    </row>
    <row r="81" ht="19" customHeight="1">
      <c r="A81" s="14" t="n"/>
      <c r="B81" s="15" t="inlineStr">
        <is>
          <t>Hauling / Dumpster</t>
        </is>
      </c>
      <c r="C81" s="16" t="n"/>
      <c r="D81" s="16" t="n"/>
      <c r="E81" s="17">
        <f>IFERROR(C81+D81,0)</f>
        <v/>
      </c>
      <c r="F81" s="18">
        <f>$F$6</f>
        <v/>
      </c>
      <c r="G81" s="19">
        <f>IFERROR(E81*(1+F81),0)</f>
        <v/>
      </c>
      <c r="H81" s="20" t="inlineStr">
        <is>
          <t>—</t>
        </is>
      </c>
      <c r="I81" s="14" t="n"/>
    </row>
    <row r="82" ht="19" customHeight="1">
      <c r="A82" s="21" t="n"/>
      <c r="B82" s="22" t="inlineStr">
        <is>
          <t>Optional Item</t>
        </is>
      </c>
      <c r="C82" s="23" t="n"/>
      <c r="D82" s="23" t="n"/>
      <c r="E82" s="24">
        <f>IFERROR(C82+D82,0)</f>
        <v/>
      </c>
      <c r="F82" s="18">
        <f>$F$6</f>
        <v/>
      </c>
      <c r="G82" s="19">
        <f>IFERROR(E82*(1+F82),0)</f>
        <v/>
      </c>
      <c r="H82" s="25" t="inlineStr">
        <is>
          <t>—</t>
        </is>
      </c>
      <c r="I82" s="21" t="n"/>
    </row>
    <row r="83" ht="19" customHeight="1">
      <c r="A83" s="14" t="n"/>
      <c r="B83" s="15" t="inlineStr">
        <is>
          <t>Optional Item 2</t>
        </is>
      </c>
      <c r="C83" s="16" t="n"/>
      <c r="D83" s="16" t="n"/>
      <c r="E83" s="17">
        <f>IFERROR(C83+D83,0)</f>
        <v/>
      </c>
      <c r="F83" s="18">
        <f>$F$6</f>
        <v/>
      </c>
      <c r="G83" s="19">
        <f>IFERROR(E83*(1+F83),0)</f>
        <v/>
      </c>
      <c r="H83" s="20" t="inlineStr">
        <is>
          <t>—</t>
        </is>
      </c>
      <c r="I83" s="14" t="n"/>
    </row>
    <row r="84" ht="22" customHeight="1">
      <c r="A84" s="26" t="inlineStr">
        <is>
          <t xml:space="preserve">  Misc / Extra Subtotal</t>
        </is>
      </c>
      <c r="B84" s="110" t="n"/>
      <c r="C84" s="28">
        <f>SUM(C79:C83)</f>
        <v/>
      </c>
      <c r="D84" s="28">
        <f>SUM(D79:D83)</f>
        <v/>
      </c>
      <c r="E84" s="29">
        <f>SUM(E79:E83)</f>
        <v/>
      </c>
      <c r="F84" s="30" t="n"/>
      <c r="G84" s="31">
        <f>SUM(G79:G83)</f>
        <v/>
      </c>
      <c r="H84" s="32">
        <f>SUMIF(H79:H83,"✔",G79:G83)</f>
        <v/>
      </c>
      <c r="I84" s="30" t="n"/>
    </row>
    <row r="87" ht="30" customHeight="1">
      <c r="A87" s="40" t="inlineStr">
        <is>
          <t>PROJECT TOTALS</t>
        </is>
      </c>
    </row>
    <row r="88" ht="24" customHeight="1">
      <c r="A88" s="41" t="inlineStr">
        <is>
          <t>Your Total Cost  (Materials + Labor)</t>
        </is>
      </c>
      <c r="C88" s="29">
        <f>SUM(C15,C30,C48,C55,C62,C69,C76,C84)</f>
        <v/>
      </c>
      <c r="D88" s="29">
        <f>SUM(D15,D30,D48,D55,D62,D69,D76,D84)</f>
        <v/>
      </c>
      <c r="E88" s="29">
        <f>SUM(E15,E30,E48,E55,E62,E69,E76,E84)</f>
        <v/>
      </c>
      <c r="F88" s="30" t="n"/>
      <c r="G88" s="42">
        <f>SUM(E15,E30,E48,E55,E62,E69,E76,E84)</f>
        <v/>
      </c>
      <c r="H88" s="30" t="n"/>
      <c r="I88" s="30" t="n"/>
    </row>
    <row r="89" ht="24" customHeight="1">
      <c r="A89" s="43" t="inlineStr">
        <is>
          <t>Total Material Allowances  (excl. from Gary's cut)</t>
        </is>
      </c>
      <c r="C89" s="45" t="inlineStr"/>
      <c r="D89" s="45" t="inlineStr"/>
      <c r="E89" s="45" t="inlineStr"/>
      <c r="F89" s="46" t="n"/>
      <c r="G89" s="47">
        <f>SUM(H15,H30,H48,H55,H62,H69,H76,H84)</f>
        <v/>
      </c>
      <c r="H89" s="46" t="n"/>
      <c r="I89" s="46" t="n"/>
    </row>
    <row r="90" ht="32" customHeight="1">
      <c r="A90" s="48" t="inlineStr">
        <is>
          <t>CLIENT TOTAL  (with markup)</t>
        </is>
      </c>
      <c r="C90" s="50" t="inlineStr"/>
      <c r="D90" s="50" t="inlineStr"/>
      <c r="E90" s="50" t="inlineStr"/>
      <c r="F90" s="51" t="n"/>
      <c r="G90" s="52">
        <f>SUM(G15,G30,G48,G55,G62,G69,G76,G84)</f>
        <v/>
      </c>
      <c r="H90" s="51" t="n"/>
      <c r="I90" s="51" t="n"/>
    </row>
    <row r="91" ht="22" customHeight="1">
      <c r="A91" s="53" t="inlineStr">
        <is>
          <t>Gary's Cut  (10% × (Client Total − Material Allowances))</t>
        </is>
      </c>
      <c r="C91" s="30" t="n"/>
      <c r="D91" s="30" t="n"/>
      <c r="E91" s="30" t="n"/>
      <c r="F91" s="30" t="n"/>
      <c r="G91" s="54">
        <f>(G90-G89)*0.10</f>
        <v/>
      </c>
      <c r="H91" s="30" t="n"/>
      <c r="I91" s="30" t="n"/>
    </row>
    <row r="92" ht="24" customHeight="1">
      <c r="A92" s="41" t="inlineStr">
        <is>
          <t>Gross Profit  (Client Total − Your Cost)</t>
        </is>
      </c>
      <c r="C92" s="29" t="inlineStr"/>
      <c r="D92" s="29" t="inlineStr"/>
      <c r="E92" s="29" t="inlineStr"/>
      <c r="F92" s="30" t="n"/>
      <c r="G92" s="42">
        <f>G90-G88</f>
        <v/>
      </c>
      <c r="H92" s="30" t="n"/>
      <c r="I92" s="30" t="n"/>
    </row>
    <row r="93" ht="32" customHeight="1">
      <c r="A93" s="55" t="inlineStr">
        <is>
          <t>MY TAKE HOME  (Profit − Gary's Cut)</t>
        </is>
      </c>
      <c r="C93" s="56" t="n"/>
      <c r="D93" s="56" t="n"/>
      <c r="E93" s="56" t="n"/>
      <c r="F93" s="56" t="n"/>
      <c r="G93" s="57">
        <f>G92-G91</f>
        <v/>
      </c>
      <c r="H93" s="56" t="n"/>
      <c r="I93" s="56" t="n"/>
    </row>
    <row r="95" ht="22" customHeight="1">
      <c r="A95" s="58" t="inlineStr">
        <is>
          <t>CHANGE ORDERS</t>
        </is>
      </c>
    </row>
    <row r="96" ht="22" customHeight="1">
      <c r="A96" s="59" t="inlineStr">
        <is>
          <t>Description</t>
        </is>
      </c>
      <c r="B96" s="111" t="n"/>
      <c r="C96" s="111" t="n"/>
      <c r="D96" s="112" t="n"/>
      <c r="E96" s="59" t="inlineStr">
        <is>
          <t>Cost</t>
        </is>
      </c>
      <c r="F96" s="60" t="inlineStr">
        <is>
          <t>Markup %</t>
        </is>
      </c>
      <c r="G96" s="59" t="inlineStr">
        <is>
          <t>Client Charge</t>
        </is>
      </c>
      <c r="H96" s="60" t="inlineStr">
        <is>
          <t>Approved?</t>
        </is>
      </c>
      <c r="I96" s="59" t="inlineStr">
        <is>
          <t>Date</t>
        </is>
      </c>
    </row>
    <row r="97" ht="20" customHeight="1">
      <c r="A97" s="61" t="n"/>
      <c r="B97" s="113" t="n"/>
      <c r="C97" s="113" t="n"/>
      <c r="D97" s="110" t="n"/>
      <c r="E97" s="62" t="n"/>
      <c r="F97" s="18">
        <f>$F$6</f>
        <v/>
      </c>
      <c r="G97" s="19">
        <f>IFERROR(E97*(1+F97),0)</f>
        <v/>
      </c>
      <c r="H97" s="63" t="n"/>
      <c r="I97" s="64" t="n"/>
    </row>
    <row r="98" ht="20" customHeight="1">
      <c r="A98" s="65" t="n"/>
      <c r="B98" s="113" t="n"/>
      <c r="C98" s="113" t="n"/>
      <c r="D98" s="110" t="n"/>
      <c r="E98" s="66" t="n"/>
      <c r="F98" s="18">
        <f>$F$6</f>
        <v/>
      </c>
      <c r="G98" s="19">
        <f>IFERROR(E98*(1+F98),0)</f>
        <v/>
      </c>
      <c r="H98" s="67" t="n"/>
      <c r="I98" s="68" t="n"/>
    </row>
    <row r="99" ht="20" customHeight="1">
      <c r="A99" s="61" t="n"/>
      <c r="B99" s="113" t="n"/>
      <c r="C99" s="113" t="n"/>
      <c r="D99" s="110" t="n"/>
      <c r="E99" s="62" t="n"/>
      <c r="F99" s="18">
        <f>$F$6</f>
        <v/>
      </c>
      <c r="G99" s="19">
        <f>IFERROR(E99*(1+F99),0)</f>
        <v/>
      </c>
      <c r="H99" s="63" t="n"/>
      <c r="I99" s="64" t="n"/>
    </row>
    <row r="100" ht="20" customHeight="1">
      <c r="A100" s="65" t="n"/>
      <c r="B100" s="113" t="n"/>
      <c r="C100" s="113" t="n"/>
      <c r="D100" s="110" t="n"/>
      <c r="E100" s="66" t="n"/>
      <c r="F100" s="18">
        <f>$F$6</f>
        <v/>
      </c>
      <c r="G100" s="19">
        <f>IFERROR(E100*(1+F100),0)</f>
        <v/>
      </c>
      <c r="H100" s="67" t="n"/>
      <c r="I100" s="68" t="n"/>
    </row>
    <row r="101" ht="20" customHeight="1">
      <c r="A101" s="61" t="n"/>
      <c r="B101" s="113" t="n"/>
      <c r="C101" s="113" t="n"/>
      <c r="D101" s="110" t="n"/>
      <c r="E101" s="62" t="n"/>
      <c r="F101" s="18">
        <f>$F$6</f>
        <v/>
      </c>
      <c r="G101" s="19">
        <f>IFERROR(E101*(1+F101),0)</f>
        <v/>
      </c>
      <c r="H101" s="63" t="n"/>
      <c r="I101" s="64" t="n"/>
    </row>
    <row r="102" ht="20" customHeight="1">
      <c r="A102" s="65" t="n"/>
      <c r="B102" s="113" t="n"/>
      <c r="C102" s="113" t="n"/>
      <c r="D102" s="110" t="n"/>
      <c r="E102" s="66" t="n"/>
      <c r="F102" s="18">
        <f>$F$6</f>
        <v/>
      </c>
      <c r="G102" s="19">
        <f>IFERROR(E102*(1+F102),0)</f>
        <v/>
      </c>
      <c r="H102" s="67" t="n"/>
      <c r="I102" s="68" t="n"/>
    </row>
    <row r="103" ht="22" customHeight="1">
      <c r="A103" s="41" t="inlineStr">
        <is>
          <t>Change Order Total</t>
        </is>
      </c>
      <c r="G103" s="69">
        <f>SUM(G97:G102)</f>
        <v/>
      </c>
      <c r="H103" s="27" t="n"/>
      <c r="I103" s="27" t="n"/>
    </row>
  </sheetData>
  <mergeCells count="42">
    <mergeCell ref="A48:B48"/>
    <mergeCell ref="A92:B92"/>
    <mergeCell ref="A30:B30"/>
    <mergeCell ref="A15:B15"/>
    <mergeCell ref="A97:D97"/>
    <mergeCell ref="B8:D8"/>
    <mergeCell ref="A100:D100"/>
    <mergeCell ref="A96:D96"/>
    <mergeCell ref="A3:I3"/>
    <mergeCell ref="A88:B88"/>
    <mergeCell ref="A50:I50"/>
    <mergeCell ref="A12:I12"/>
    <mergeCell ref="A69:B69"/>
    <mergeCell ref="A102:D102"/>
    <mergeCell ref="A57:I57"/>
    <mergeCell ref="A95:I95"/>
    <mergeCell ref="A2:I2"/>
    <mergeCell ref="A71:I71"/>
    <mergeCell ref="A90:B90"/>
    <mergeCell ref="A32:I32"/>
    <mergeCell ref="A17:I17"/>
    <mergeCell ref="A84:B84"/>
    <mergeCell ref="A89:B89"/>
    <mergeCell ref="A4:I4"/>
    <mergeCell ref="B6:D6"/>
    <mergeCell ref="A98:D98"/>
    <mergeCell ref="A55:B55"/>
    <mergeCell ref="B5:D5"/>
    <mergeCell ref="F7:I7"/>
    <mergeCell ref="A76:B76"/>
    <mergeCell ref="F5:I5"/>
    <mergeCell ref="B7:D7"/>
    <mergeCell ref="A99:D99"/>
    <mergeCell ref="A91:B91"/>
    <mergeCell ref="A64:I64"/>
    <mergeCell ref="A62:B62"/>
    <mergeCell ref="F8:I8"/>
    <mergeCell ref="A103:F103"/>
    <mergeCell ref="A101:D101"/>
    <mergeCell ref="A93:B93"/>
    <mergeCell ref="A87:I87"/>
    <mergeCell ref="A78:I78"/>
  </mergeCells>
  <dataValidations count="1">
    <dataValidation sqref="H79:H179" showDropDown="0" showInputMessage="0" showErrorMessage="0" allowBlank="1" type="list">
      <formula1>"✔,—"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8" customWidth="1" min="4" max="4"/>
    <col width="14" customWidth="1" min="5" max="5"/>
    <col width="14" customWidth="1" min="6" max="6"/>
    <col width="24" customWidth="1" min="7" max="7"/>
  </cols>
  <sheetData>
    <row r="1" ht="8" customHeight="1"/>
    <row r="2" ht="48" customHeight="1">
      <c r="A2" s="7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MATERIALS TRACKER</t>
        </is>
      </c>
    </row>
    <row r="5" ht="26" customHeight="1">
      <c r="A5" s="8" t="inlineStr">
        <is>
          <t>Item / Description</t>
        </is>
      </c>
      <c r="B5" s="8" t="inlineStr">
        <is>
          <t>Supplier</t>
        </is>
      </c>
      <c r="C5" s="9" t="inlineStr">
        <is>
          <t>Unit Cost</t>
        </is>
      </c>
      <c r="D5" s="9" t="inlineStr">
        <is>
          <t>Qty</t>
        </is>
      </c>
      <c r="E5" s="10" t="inlineStr">
        <is>
          <t>Total</t>
        </is>
      </c>
      <c r="F5" s="11" t="inlineStr">
        <is>
          <t>Status</t>
        </is>
      </c>
      <c r="G5" s="8" t="inlineStr">
        <is>
          <t>Notes</t>
        </is>
      </c>
    </row>
    <row r="6" ht="19" customHeight="1">
      <c r="A6" s="72" t="n"/>
      <c r="B6" s="72" t="n"/>
      <c r="C6" s="73" t="n"/>
      <c r="D6" s="74" t="n"/>
      <c r="E6" s="75">
        <f>IFERROR(C6*D6,"")</f>
        <v/>
      </c>
      <c r="F6" s="74" t="n"/>
      <c r="G6" s="72" t="n"/>
    </row>
    <row r="7" ht="19" customHeight="1">
      <c r="A7" s="76" t="n"/>
      <c r="B7" s="76" t="n"/>
      <c r="C7" s="16" t="n"/>
      <c r="D7" s="77" t="n"/>
      <c r="E7" s="17">
        <f>IFERROR(C7*D7,"")</f>
        <v/>
      </c>
      <c r="F7" s="77" t="n"/>
      <c r="G7" s="76" t="n"/>
    </row>
    <row r="8" ht="19" customHeight="1">
      <c r="A8" s="72" t="n"/>
      <c r="B8" s="72" t="n"/>
      <c r="C8" s="73" t="n"/>
      <c r="D8" s="74" t="n"/>
      <c r="E8" s="75">
        <f>IFERROR(C8*D8,"")</f>
        <v/>
      </c>
      <c r="F8" s="74" t="n"/>
      <c r="G8" s="72" t="n"/>
    </row>
    <row r="9" ht="19" customHeight="1">
      <c r="A9" s="76" t="n"/>
      <c r="B9" s="76" t="n"/>
      <c r="C9" s="16" t="n"/>
      <c r="D9" s="77" t="n"/>
      <c r="E9" s="17">
        <f>IFERROR(C9*D9,"")</f>
        <v/>
      </c>
      <c r="F9" s="77" t="n"/>
      <c r="G9" s="76" t="n"/>
    </row>
    <row r="10" ht="19" customHeight="1">
      <c r="A10" s="72" t="n"/>
      <c r="B10" s="72" t="n"/>
      <c r="C10" s="73" t="n"/>
      <c r="D10" s="74" t="n"/>
      <c r="E10" s="75">
        <f>IFERROR(C10*D10,"")</f>
        <v/>
      </c>
      <c r="F10" s="74" t="n"/>
      <c r="G10" s="72" t="n"/>
    </row>
    <row r="11" ht="19" customHeight="1">
      <c r="A11" s="76" t="n"/>
      <c r="B11" s="76" t="n"/>
      <c r="C11" s="16" t="n"/>
      <c r="D11" s="77" t="n"/>
      <c r="E11" s="17">
        <f>IFERROR(C11*D11,"")</f>
        <v/>
      </c>
      <c r="F11" s="77" t="n"/>
      <c r="G11" s="76" t="n"/>
    </row>
    <row r="12" ht="19" customHeight="1">
      <c r="A12" s="72" t="n"/>
      <c r="B12" s="72" t="n"/>
      <c r="C12" s="73" t="n"/>
      <c r="D12" s="74" t="n"/>
      <c r="E12" s="75">
        <f>IFERROR(C12*D12,"")</f>
        <v/>
      </c>
      <c r="F12" s="74" t="n"/>
      <c r="G12" s="72" t="n"/>
    </row>
    <row r="13" ht="19" customHeight="1">
      <c r="A13" s="76" t="n"/>
      <c r="B13" s="76" t="n"/>
      <c r="C13" s="16" t="n"/>
      <c r="D13" s="77" t="n"/>
      <c r="E13" s="17">
        <f>IFERROR(C13*D13,"")</f>
        <v/>
      </c>
      <c r="F13" s="77" t="n"/>
      <c r="G13" s="76" t="n"/>
    </row>
    <row r="14" ht="19" customHeight="1">
      <c r="A14" s="72" t="n"/>
      <c r="B14" s="72" t="n"/>
      <c r="C14" s="73" t="n"/>
      <c r="D14" s="74" t="n"/>
      <c r="E14" s="75">
        <f>IFERROR(C14*D14,"")</f>
        <v/>
      </c>
      <c r="F14" s="74" t="n"/>
      <c r="G14" s="72" t="n"/>
    </row>
    <row r="15" ht="19" customHeight="1">
      <c r="A15" s="76" t="n"/>
      <c r="B15" s="76" t="n"/>
      <c r="C15" s="16" t="n"/>
      <c r="D15" s="77" t="n"/>
      <c r="E15" s="17">
        <f>IFERROR(C15*D15,"")</f>
        <v/>
      </c>
      <c r="F15" s="77" t="n"/>
      <c r="G15" s="76" t="n"/>
    </row>
    <row r="16" ht="19" customHeight="1">
      <c r="A16" s="72" t="n"/>
      <c r="B16" s="72" t="n"/>
      <c r="C16" s="73" t="n"/>
      <c r="D16" s="74" t="n"/>
      <c r="E16" s="75">
        <f>IFERROR(C16*D16,"")</f>
        <v/>
      </c>
      <c r="F16" s="74" t="n"/>
      <c r="G16" s="72" t="n"/>
    </row>
    <row r="17" ht="19" customHeight="1">
      <c r="A17" s="76" t="n"/>
      <c r="B17" s="76" t="n"/>
      <c r="C17" s="16" t="n"/>
      <c r="D17" s="77" t="n"/>
      <c r="E17" s="17">
        <f>IFERROR(C17*D17,"")</f>
        <v/>
      </c>
      <c r="F17" s="77" t="n"/>
      <c r="G17" s="76" t="n"/>
    </row>
    <row r="18" ht="19" customHeight="1">
      <c r="A18" s="72" t="n"/>
      <c r="B18" s="72" t="n"/>
      <c r="C18" s="73" t="n"/>
      <c r="D18" s="74" t="n"/>
      <c r="E18" s="75">
        <f>IFERROR(C18*D18,"")</f>
        <v/>
      </c>
      <c r="F18" s="74" t="n"/>
      <c r="G18" s="72" t="n"/>
    </row>
    <row r="19" ht="19" customHeight="1">
      <c r="A19" s="76" t="n"/>
      <c r="B19" s="76" t="n"/>
      <c r="C19" s="16" t="n"/>
      <c r="D19" s="77" t="n"/>
      <c r="E19" s="17">
        <f>IFERROR(C19*D19,"")</f>
        <v/>
      </c>
      <c r="F19" s="77" t="n"/>
      <c r="G19" s="76" t="n"/>
    </row>
    <row r="20" ht="19" customHeight="1">
      <c r="A20" s="72" t="n"/>
      <c r="B20" s="72" t="n"/>
      <c r="C20" s="73" t="n"/>
      <c r="D20" s="74" t="n"/>
      <c r="E20" s="75">
        <f>IFERROR(C20*D20,"")</f>
        <v/>
      </c>
      <c r="F20" s="74" t="n"/>
      <c r="G20" s="72" t="n"/>
    </row>
    <row r="21" ht="19" customHeight="1">
      <c r="A21" s="76" t="n"/>
      <c r="B21" s="76" t="n"/>
      <c r="C21" s="16" t="n"/>
      <c r="D21" s="77" t="n"/>
      <c r="E21" s="17">
        <f>IFERROR(C21*D21,"")</f>
        <v/>
      </c>
      <c r="F21" s="77" t="n"/>
      <c r="G21" s="76" t="n"/>
    </row>
    <row r="22" ht="19" customHeight="1">
      <c r="A22" s="72" t="n"/>
      <c r="B22" s="72" t="n"/>
      <c r="C22" s="73" t="n"/>
      <c r="D22" s="74" t="n"/>
      <c r="E22" s="75">
        <f>IFERROR(C22*D22,"")</f>
        <v/>
      </c>
      <c r="F22" s="74" t="n"/>
      <c r="G22" s="72" t="n"/>
    </row>
    <row r="23" ht="19" customHeight="1">
      <c r="A23" s="76" t="n"/>
      <c r="B23" s="76" t="n"/>
      <c r="C23" s="16" t="n"/>
      <c r="D23" s="77" t="n"/>
      <c r="E23" s="17">
        <f>IFERROR(C23*D23,"")</f>
        <v/>
      </c>
      <c r="F23" s="77" t="n"/>
      <c r="G23" s="76" t="n"/>
    </row>
    <row r="24" ht="19" customHeight="1">
      <c r="A24" s="72" t="n"/>
      <c r="B24" s="72" t="n"/>
      <c r="C24" s="73" t="n"/>
      <c r="D24" s="74" t="n"/>
      <c r="E24" s="75">
        <f>IFERROR(C24*D24,"")</f>
        <v/>
      </c>
      <c r="F24" s="74" t="n"/>
      <c r="G24" s="72" t="n"/>
    </row>
    <row r="25" ht="19" customHeight="1">
      <c r="A25" s="76" t="n"/>
      <c r="B25" s="76" t="n"/>
      <c r="C25" s="16" t="n"/>
      <c r="D25" s="77" t="n"/>
      <c r="E25" s="17">
        <f>IFERROR(C25*D25,"")</f>
        <v/>
      </c>
      <c r="F25" s="77" t="n"/>
      <c r="G25" s="76" t="n"/>
    </row>
    <row r="26" ht="19" customHeight="1">
      <c r="A26" s="72" t="n"/>
      <c r="B26" s="72" t="n"/>
      <c r="C26" s="73" t="n"/>
      <c r="D26" s="74" t="n"/>
      <c r="E26" s="75">
        <f>IFERROR(C26*D26,"")</f>
        <v/>
      </c>
      <c r="F26" s="74" t="n"/>
      <c r="G26" s="72" t="n"/>
    </row>
    <row r="27" ht="19" customHeight="1">
      <c r="A27" s="76" t="n"/>
      <c r="B27" s="76" t="n"/>
      <c r="C27" s="16" t="n"/>
      <c r="D27" s="77" t="n"/>
      <c r="E27" s="17">
        <f>IFERROR(C27*D27,"")</f>
        <v/>
      </c>
      <c r="F27" s="77" t="n"/>
      <c r="G27" s="76" t="n"/>
    </row>
    <row r="28" ht="19" customHeight="1">
      <c r="A28" s="72" t="n"/>
      <c r="B28" s="72" t="n"/>
      <c r="C28" s="73" t="n"/>
      <c r="D28" s="74" t="n"/>
      <c r="E28" s="75">
        <f>IFERROR(C28*D28,"")</f>
        <v/>
      </c>
      <c r="F28" s="74" t="n"/>
      <c r="G28" s="72" t="n"/>
    </row>
    <row r="29" ht="19" customHeight="1">
      <c r="A29" s="76" t="n"/>
      <c r="B29" s="76" t="n"/>
      <c r="C29" s="16" t="n"/>
      <c r="D29" s="77" t="n"/>
      <c r="E29" s="17">
        <f>IFERROR(C29*D29,"")</f>
        <v/>
      </c>
      <c r="F29" s="77" t="n"/>
      <c r="G29" s="76" t="n"/>
    </row>
    <row r="30" ht="19" customHeight="1">
      <c r="A30" s="72" t="n"/>
      <c r="B30" s="72" t="n"/>
      <c r="C30" s="73" t="n"/>
      <c r="D30" s="74" t="n"/>
      <c r="E30" s="75">
        <f>IFERROR(C30*D30,"")</f>
        <v/>
      </c>
      <c r="F30" s="74" t="n"/>
      <c r="G30" s="72" t="n"/>
    </row>
    <row r="31" ht="19" customHeight="1">
      <c r="A31" s="76" t="n"/>
      <c r="B31" s="76" t="n"/>
      <c r="C31" s="16" t="n"/>
      <c r="D31" s="77" t="n"/>
      <c r="E31" s="17">
        <f>IFERROR(C31*D31,"")</f>
        <v/>
      </c>
      <c r="F31" s="77" t="n"/>
      <c r="G31" s="76" t="n"/>
    </row>
    <row r="32" ht="19" customHeight="1">
      <c r="A32" s="72" t="n"/>
      <c r="B32" s="72" t="n"/>
      <c r="C32" s="73" t="n"/>
      <c r="D32" s="74" t="n"/>
      <c r="E32" s="75">
        <f>IFERROR(C32*D32,"")</f>
        <v/>
      </c>
      <c r="F32" s="74" t="n"/>
      <c r="G32" s="72" t="n"/>
    </row>
    <row r="33" ht="19" customHeight="1">
      <c r="A33" s="76" t="n"/>
      <c r="B33" s="76" t="n"/>
      <c r="C33" s="16" t="n"/>
      <c r="D33" s="77" t="n"/>
      <c r="E33" s="17">
        <f>IFERROR(C33*D33,"")</f>
        <v/>
      </c>
      <c r="F33" s="77" t="n"/>
      <c r="G33" s="76" t="n"/>
    </row>
    <row r="34" ht="19" customHeight="1">
      <c r="A34" s="72" t="n"/>
      <c r="B34" s="72" t="n"/>
      <c r="C34" s="73" t="n"/>
      <c r="D34" s="74" t="n"/>
      <c r="E34" s="75">
        <f>IFERROR(C34*D34,"")</f>
        <v/>
      </c>
      <c r="F34" s="74" t="n"/>
      <c r="G34" s="72" t="n"/>
    </row>
    <row r="35" ht="19" customHeight="1">
      <c r="A35" s="76" t="n"/>
      <c r="B35" s="76" t="n"/>
      <c r="C35" s="16" t="n"/>
      <c r="D35" s="77" t="n"/>
      <c r="E35" s="17">
        <f>IFERROR(C35*D35,"")</f>
        <v/>
      </c>
      <c r="F35" s="77" t="n"/>
      <c r="G35" s="76" t="n"/>
    </row>
    <row r="36" ht="19" customHeight="1">
      <c r="A36" s="72" t="n"/>
      <c r="B36" s="72" t="n"/>
      <c r="C36" s="73" t="n"/>
      <c r="D36" s="74" t="n"/>
      <c r="E36" s="75">
        <f>IFERROR(C36*D36,"")</f>
        <v/>
      </c>
      <c r="F36" s="74" t="n"/>
      <c r="G36" s="72" t="n"/>
    </row>
    <row r="37" ht="19" customHeight="1">
      <c r="A37" s="76" t="n"/>
      <c r="B37" s="76" t="n"/>
      <c r="C37" s="16" t="n"/>
      <c r="D37" s="77" t="n"/>
      <c r="E37" s="17">
        <f>IFERROR(C37*D37,"")</f>
        <v/>
      </c>
      <c r="F37" s="77" t="n"/>
      <c r="G37" s="76" t="n"/>
    </row>
    <row r="38" ht="19" customHeight="1">
      <c r="A38" s="72" t="n"/>
      <c r="B38" s="72" t="n"/>
      <c r="C38" s="73" t="n"/>
      <c r="D38" s="74" t="n"/>
      <c r="E38" s="75">
        <f>IFERROR(C38*D38,"")</f>
        <v/>
      </c>
      <c r="F38" s="74" t="n"/>
      <c r="G38" s="72" t="n"/>
    </row>
    <row r="39" ht="19" customHeight="1">
      <c r="A39" s="76" t="n"/>
      <c r="B39" s="76" t="n"/>
      <c r="C39" s="16" t="n"/>
      <c r="D39" s="77" t="n"/>
      <c r="E39" s="17">
        <f>IFERROR(C39*D39,"")</f>
        <v/>
      </c>
      <c r="F39" s="77" t="n"/>
      <c r="G39" s="76" t="n"/>
    </row>
    <row r="40" ht="19" customHeight="1">
      <c r="A40" s="72" t="n"/>
      <c r="B40" s="72" t="n"/>
      <c r="C40" s="73" t="n"/>
      <c r="D40" s="74" t="n"/>
      <c r="E40" s="75">
        <f>IFERROR(C40*D40,"")</f>
        <v/>
      </c>
      <c r="F40" s="74" t="n"/>
      <c r="G40" s="72" t="n"/>
    </row>
    <row r="41" ht="19" customHeight="1">
      <c r="A41" s="76" t="n"/>
      <c r="B41" s="76" t="n"/>
      <c r="C41" s="16" t="n"/>
      <c r="D41" s="77" t="n"/>
      <c r="E41" s="17">
        <f>IFERROR(C41*D41,"")</f>
        <v/>
      </c>
      <c r="F41" s="77" t="n"/>
      <c r="G41" s="76" t="n"/>
    </row>
    <row r="42" ht="19" customHeight="1">
      <c r="A42" s="72" t="n"/>
      <c r="B42" s="72" t="n"/>
      <c r="C42" s="73" t="n"/>
      <c r="D42" s="74" t="n"/>
      <c r="E42" s="75">
        <f>IFERROR(C42*D42,"")</f>
        <v/>
      </c>
      <c r="F42" s="74" t="n"/>
      <c r="G42" s="72" t="n"/>
    </row>
    <row r="43" ht="19" customHeight="1">
      <c r="A43" s="76" t="n"/>
      <c r="B43" s="76" t="n"/>
      <c r="C43" s="16" t="n"/>
      <c r="D43" s="77" t="n"/>
      <c r="E43" s="17">
        <f>IFERROR(C43*D43,"")</f>
        <v/>
      </c>
      <c r="F43" s="77" t="n"/>
      <c r="G43" s="76" t="n"/>
    </row>
    <row r="44" ht="19" customHeight="1">
      <c r="A44" s="72" t="n"/>
      <c r="B44" s="72" t="n"/>
      <c r="C44" s="73" t="n"/>
      <c r="D44" s="74" t="n"/>
      <c r="E44" s="75">
        <f>IFERROR(C44*D44,"")</f>
        <v/>
      </c>
      <c r="F44" s="74" t="n"/>
      <c r="G44" s="72" t="n"/>
    </row>
    <row r="45" ht="19" customHeight="1">
      <c r="A45" s="76" t="n"/>
      <c r="B45" s="76" t="n"/>
      <c r="C45" s="16" t="n"/>
      <c r="D45" s="77" t="n"/>
      <c r="E45" s="17">
        <f>IFERROR(C45*D45,"")</f>
        <v/>
      </c>
      <c r="F45" s="77" t="n"/>
      <c r="G45" s="76" t="n"/>
    </row>
    <row r="46" ht="19" customHeight="1">
      <c r="A46" s="72" t="n"/>
      <c r="B46" s="72" t="n"/>
      <c r="C46" s="73" t="n"/>
      <c r="D46" s="74" t="n"/>
      <c r="E46" s="75">
        <f>IFERROR(C46*D46,"")</f>
        <v/>
      </c>
      <c r="F46" s="74" t="n"/>
      <c r="G46" s="72" t="n"/>
    </row>
    <row r="47" ht="19" customHeight="1">
      <c r="A47" s="76" t="n"/>
      <c r="B47" s="76" t="n"/>
      <c r="C47" s="16" t="n"/>
      <c r="D47" s="77" t="n"/>
      <c r="E47" s="17">
        <f>IFERROR(C47*D47,"")</f>
        <v/>
      </c>
      <c r="F47" s="77" t="n"/>
      <c r="G47" s="76" t="n"/>
    </row>
    <row r="48" ht="19" customHeight="1">
      <c r="A48" s="72" t="n"/>
      <c r="B48" s="72" t="n"/>
      <c r="C48" s="73" t="n"/>
      <c r="D48" s="74" t="n"/>
      <c r="E48" s="75">
        <f>IFERROR(C48*D48,"")</f>
        <v/>
      </c>
      <c r="F48" s="74" t="n"/>
      <c r="G48" s="72" t="n"/>
    </row>
    <row r="49" ht="19" customHeight="1">
      <c r="A49" s="76" t="n"/>
      <c r="B49" s="76" t="n"/>
      <c r="C49" s="16" t="n"/>
      <c r="D49" s="77" t="n"/>
      <c r="E49" s="17">
        <f>IFERROR(C49*D49,"")</f>
        <v/>
      </c>
      <c r="F49" s="77" t="n"/>
      <c r="G49" s="76" t="n"/>
    </row>
    <row r="50" ht="19" customHeight="1">
      <c r="A50" s="72" t="n"/>
      <c r="B50" s="72" t="n"/>
      <c r="C50" s="73" t="n"/>
      <c r="D50" s="74" t="n"/>
      <c r="E50" s="75">
        <f>IFERROR(C50*D50,"")</f>
        <v/>
      </c>
      <c r="F50" s="74" t="n"/>
      <c r="G50" s="72" t="n"/>
    </row>
    <row r="51" ht="26" customHeight="1">
      <c r="A51" s="78" t="inlineStr">
        <is>
          <t>Total Materials Cost</t>
        </is>
      </c>
      <c r="E51" s="79">
        <f>SUM(E6:E50)</f>
        <v/>
      </c>
      <c r="F51" s="49" t="n"/>
      <c r="G51" s="49" t="n"/>
    </row>
  </sheetData>
  <mergeCells count="4">
    <mergeCell ref="A3:G3"/>
    <mergeCell ref="A2:G2"/>
    <mergeCell ref="A51:D51"/>
    <mergeCell ref="A4:G4"/>
  </mergeCells>
  <dataValidations count="1">
    <dataValidation sqref="F6:F50" showDropDown="0" showInputMessage="0" showErrorMessage="0" allowBlank="1" type="list">
      <formula1>"✅ Purchased,📦 Ordered,⏳ Pending,❌ Not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" customWidth="1" min="3" max="3"/>
  </cols>
  <sheetData>
    <row r="1" ht="8" customHeight="1"/>
    <row r="2" ht="60" customHeight="1">
      <c r="A2" s="8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INVESTMENT ESTIMATE</t>
        </is>
      </c>
    </row>
    <row r="6" ht="20" customHeight="1">
      <c r="A6" s="81" t="inlineStr">
        <is>
          <t>Client:</t>
        </is>
      </c>
      <c r="B6" s="5">
        <f>Budget!B5</f>
        <v/>
      </c>
    </row>
    <row r="7" ht="20" customHeight="1">
      <c r="A7" s="81" t="inlineStr">
        <is>
          <t>Property:</t>
        </is>
      </c>
      <c r="B7" s="5">
        <f>Budget!B6</f>
        <v/>
      </c>
    </row>
    <row r="8" ht="20" customHeight="1">
      <c r="A8" s="81" t="inlineStr">
        <is>
          <t>Project Type:</t>
        </is>
      </c>
      <c r="B8" s="5">
        <f>Budget!B7</f>
        <v/>
      </c>
    </row>
    <row r="9" ht="20" customHeight="1">
      <c r="A9" s="81" t="inlineStr">
        <is>
          <t>Estimate Date:</t>
        </is>
      </c>
      <c r="B9" s="5">
        <f>Budget!F5</f>
        <v/>
      </c>
    </row>
    <row r="11" ht="26" customHeight="1">
      <c r="A11" s="82" t="inlineStr">
        <is>
          <t>SCOPE OF WORK — COST BREAKDOWN</t>
        </is>
      </c>
    </row>
    <row r="12" ht="22" customHeight="1">
      <c r="A12" s="83" t="inlineStr">
        <is>
          <t xml:space="preserve">  Demo</t>
        </is>
      </c>
      <c r="B12" s="84">
        <f>Budget!G15</f>
        <v/>
      </c>
    </row>
    <row r="13" ht="22" customHeight="1">
      <c r="A13" s="85" t="inlineStr">
        <is>
          <t xml:space="preserve">  Kitchen</t>
        </is>
      </c>
      <c r="B13" s="86">
        <f>Budget!G30</f>
        <v/>
      </c>
    </row>
    <row r="14" ht="22" customHeight="1">
      <c r="A14" s="83" t="inlineStr">
        <is>
          <t xml:space="preserve">  Bathroom</t>
        </is>
      </c>
      <c r="B14" s="84">
        <f>Budget!G48</f>
        <v/>
      </c>
    </row>
    <row r="15" ht="22" customHeight="1">
      <c r="A15" s="85" t="inlineStr">
        <is>
          <t xml:space="preserve">  Flooring</t>
        </is>
      </c>
      <c r="B15" s="86">
        <f>Budget!G55</f>
        <v/>
      </c>
    </row>
    <row r="16" ht="22" customHeight="1">
      <c r="A16" s="83" t="inlineStr">
        <is>
          <t xml:space="preserve">  Paint &amp; Drywall</t>
        </is>
      </c>
      <c r="B16" s="84">
        <f>Budget!G62</f>
        <v/>
      </c>
    </row>
    <row r="17" ht="22" customHeight="1">
      <c r="A17" s="85" t="inlineStr">
        <is>
          <t xml:space="preserve">  Electrical</t>
        </is>
      </c>
      <c r="B17" s="86">
        <f>Budget!G69</f>
        <v/>
      </c>
    </row>
    <row r="18" ht="22" customHeight="1">
      <c r="A18" s="83" t="inlineStr">
        <is>
          <t xml:space="preserve">  Plumbing</t>
        </is>
      </c>
      <c r="B18" s="84">
        <f>Budget!G76</f>
        <v/>
      </c>
    </row>
    <row r="19" ht="22" customHeight="1">
      <c r="A19" s="85" t="inlineStr">
        <is>
          <t xml:space="preserve">  Misc / Extra</t>
        </is>
      </c>
      <c r="B19" s="86">
        <f>Budget!G84</f>
        <v/>
      </c>
    </row>
    <row r="21" ht="36" customHeight="1">
      <c r="A21" s="87" t="inlineStr">
        <is>
          <t>TOTAL PROJECT INVESTMENT</t>
        </is>
      </c>
      <c r="B21" s="88">
        <f>Budget!G90</f>
        <v/>
      </c>
    </row>
    <row r="23" ht="18" customHeight="1">
      <c r="A23" s="89" t="inlineStr">
        <is>
          <t>timberlinebuild.co  ·  Estimate valid 30 days  ·  CA Contractor License #pending</t>
        </is>
      </c>
    </row>
  </sheetData>
  <mergeCells count="6">
    <mergeCell ref="A4:B4"/>
    <mergeCell ref="A2:B2"/>
    <mergeCell ref="A21"/>
    <mergeCell ref="A11:B11"/>
    <mergeCell ref="A23:B2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</cols>
  <sheetData>
    <row r="1" ht="8" customHeight="1"/>
    <row r="2" ht="48" customHeight="1">
      <c r="A2" s="7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JOB PROFIT BREAKDOWN</t>
        </is>
      </c>
    </row>
    <row r="6" ht="22" customHeight="1">
      <c r="A6" s="90" t="inlineStr">
        <is>
          <t>Client Name</t>
        </is>
      </c>
      <c r="B6" s="91">
        <f>Budget!B5</f>
        <v/>
      </c>
      <c r="C6" s="92" t="n"/>
    </row>
    <row r="7" ht="22" customHeight="1">
      <c r="A7" s="90" t="inlineStr">
        <is>
          <t>Project Address</t>
        </is>
      </c>
      <c r="B7" s="91">
        <f>Budget!B6</f>
        <v/>
      </c>
      <c r="C7" s="92" t="n"/>
    </row>
    <row r="8" ht="22" customHeight="1">
      <c r="A8" s="90" t="inlineStr">
        <is>
          <t>Project Type</t>
        </is>
      </c>
      <c r="B8" s="91">
        <f>Budget!B7</f>
        <v/>
      </c>
      <c r="C8" s="92" t="n"/>
    </row>
    <row r="9" ht="22" customHeight="1">
      <c r="A9" s="90" t="inlineStr">
        <is>
          <t>Date</t>
        </is>
      </c>
      <c r="B9" s="91">
        <f>Budget!F5</f>
        <v/>
      </c>
      <c r="C9" s="92" t="n"/>
    </row>
    <row r="11" ht="30" customHeight="1">
      <c r="A11" s="48" t="inlineStr">
        <is>
          <t>CLIENT TOTAL</t>
        </is>
      </c>
      <c r="B11" s="50">
        <f>Budget!G90</f>
        <v/>
      </c>
      <c r="C11" s="49" t="n"/>
    </row>
    <row r="12" ht="22" customHeight="1">
      <c r="A12" s="41" t="inlineStr">
        <is>
          <t>Your Total Cost</t>
        </is>
      </c>
      <c r="B12" s="93">
        <f>Budget!G88</f>
        <v/>
      </c>
      <c r="C12" s="27" t="n"/>
    </row>
    <row r="13" ht="22" customHeight="1">
      <c r="A13" s="43" t="inlineStr">
        <is>
          <t>Material Allowances</t>
        </is>
      </c>
      <c r="B13" s="94">
        <f>Budget!G89</f>
        <v/>
      </c>
      <c r="C13" s="44" t="n"/>
    </row>
    <row r="14" ht="22" customHeight="1">
      <c r="A14" s="41" t="inlineStr">
        <is>
          <t>Gross Profit</t>
        </is>
      </c>
      <c r="B14" s="93">
        <f>Budget!G92</f>
        <v/>
      </c>
      <c r="C14" s="27" t="n"/>
    </row>
    <row r="15" ht="22" customHeight="1">
      <c r="A15" s="95" t="inlineStr">
        <is>
          <t>Gary's Cut (10%)</t>
        </is>
      </c>
      <c r="B15" s="96">
        <f>Budget!G91</f>
        <v/>
      </c>
      <c r="C15" s="97" t="n"/>
    </row>
    <row r="16" ht="22" customHeight="1">
      <c r="A16" s="41" t="inlineStr">
        <is>
          <t>Change Orders</t>
        </is>
      </c>
      <c r="B16" s="93">
        <f>Budget!G103</f>
        <v/>
      </c>
      <c r="C16" s="27" t="n"/>
    </row>
    <row r="17" ht="30" customHeight="1">
      <c r="A17" s="55" t="inlineStr">
        <is>
          <t>MY TAKE HOME</t>
        </is>
      </c>
      <c r="B17" s="98">
        <f>Budget!G93+Budget!G103</f>
        <v/>
      </c>
      <c r="C17" s="56" t="n"/>
    </row>
    <row r="19" ht="22" customHeight="1">
      <c r="A19" s="90" t="inlineStr">
        <is>
          <t>Profit Margin %</t>
        </is>
      </c>
      <c r="B19" s="99">
        <f>IFERROR(B17/B11,0)</f>
        <v/>
      </c>
      <c r="C19" s="92" t="n"/>
    </row>
    <row r="20" ht="22" customHeight="1">
      <c r="A20" s="90" t="inlineStr">
        <is>
          <t>Effective Markup %</t>
        </is>
      </c>
      <c r="B20" s="99">
        <f>IFERROR((B11-B12)/B12,0)</f>
        <v/>
      </c>
      <c r="C20" s="92" t="n"/>
    </row>
    <row r="22" ht="24" customHeight="1">
      <c r="A22" s="82" t="inlineStr">
        <is>
          <t>PAYMENT TRACKING</t>
        </is>
      </c>
    </row>
    <row r="23" ht="20" customHeight="1">
      <c r="A23" s="10" t="inlineStr">
        <is>
          <t>Payment #</t>
        </is>
      </c>
      <c r="B23" s="9" t="inlineStr">
        <is>
          <t>Amount</t>
        </is>
      </c>
      <c r="C23" s="10" t="inlineStr">
        <is>
          <t>Date</t>
        </is>
      </c>
    </row>
    <row r="24" ht="20" customHeight="1">
      <c r="A24" s="100" t="inlineStr">
        <is>
          <t>Payment 1</t>
        </is>
      </c>
      <c r="B24" s="101" t="n"/>
      <c r="C24" s="102" t="n"/>
    </row>
    <row r="25" ht="20" customHeight="1">
      <c r="A25" s="103" t="inlineStr">
        <is>
          <t>Payment 2</t>
        </is>
      </c>
      <c r="B25" s="66" t="n"/>
      <c r="C25" s="68" t="n"/>
    </row>
    <row r="26" ht="20" customHeight="1">
      <c r="A26" s="100" t="inlineStr">
        <is>
          <t>Payment 3</t>
        </is>
      </c>
      <c r="B26" s="101" t="n"/>
      <c r="C26" s="102" t="n"/>
    </row>
    <row r="27" ht="20" customHeight="1">
      <c r="A27" s="103" t="inlineStr">
        <is>
          <t>Payment 4</t>
        </is>
      </c>
      <c r="B27" s="66" t="n"/>
      <c r="C27" s="68" t="n"/>
    </row>
    <row r="28" ht="20" customHeight="1">
      <c r="A28" s="100" t="inlineStr">
        <is>
          <t>Payment 5</t>
        </is>
      </c>
      <c r="B28" s="101" t="n"/>
      <c r="C28" s="102" t="n"/>
    </row>
    <row r="29" ht="20" customHeight="1">
      <c r="A29" s="103" t="inlineStr">
        <is>
          <t>Payment 6</t>
        </is>
      </c>
      <c r="B29" s="66" t="n"/>
      <c r="C29" s="68" t="n"/>
    </row>
    <row r="30" ht="24" customHeight="1">
      <c r="A30" s="104" t="inlineStr">
        <is>
          <t>Total Paid</t>
        </is>
      </c>
      <c r="B30" s="79">
        <f>SUM(B24:B29)</f>
        <v/>
      </c>
      <c r="C30" s="105">
        <f>B11-B30</f>
        <v/>
      </c>
    </row>
  </sheetData>
  <mergeCells count="4">
    <mergeCell ref="A4:C4"/>
    <mergeCell ref="A3:C3"/>
    <mergeCell ref="A2:C2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2026-02-24T00:19:45Z</dcterms:created>
  <dcterms:modified xmlns:dcterms="http://purl.org/dc/terms/" xmlns:xsi="http://www.w3.org/2001/XMLSchema-instance" xsi:type="dcterms:W3CDTF">2026-05-06T05:16:52Z</dcterms:modified>
</cp:coreProperties>
</file>